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media/image1.png" ContentType="image/png"/>
  <Override PartName="/xl/media/image2.png" ContentType="image/png"/>
  <Override PartName="/xl/media/image3.png" ContentType="image/png"/>
  <Override PartName="/xl/comments13.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_rels/drawing2.xml.rels" ContentType="application/vnd.openxmlformats-package.relationships+xml"/>
  <Override PartName="/xl/drawings/_rels/drawing1.xml.rels" ContentType="application/vnd.openxmlformats-package.relationships+xml"/>
  <Override PartName="/xl/drawings/vmlDrawing5.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worksheets/_rels/sheet19.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comments15.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Panduan" sheetId="2" state="visible" r:id="rId4"/>
    <sheet name="Ringkasan" sheetId="3" state="visible" r:id="rId5"/>
    <sheet name="Dashboard" sheetId="4" state="visible" r:id="rId6"/>
    <sheet name="Asumsi" sheetId="5" state="visible" r:id="rId7"/>
    <sheet name="IS_Proj" sheetId="6" state="visible" r:id="rId8"/>
    <sheet name="BS_Proj" sheetId="7" state="visible" r:id="rId9"/>
    <sheet name="CF_Proj" sheetId="8" state="visible" r:id="rId10"/>
    <sheet name="Schedules_Proj" sheetId="9" state="visible" r:id="rId11"/>
    <sheet name="DCF_Template" sheetId="10" state="visible" r:id="rId12"/>
    <sheet name="Peer" sheetId="11" state="visible" r:id="rId13"/>
    <sheet name="IS" sheetId="12" state="visible" r:id="rId14"/>
    <sheet name="BS" sheetId="13" state="visible" r:id="rId15"/>
    <sheet name="CF" sheetId="14" state="visible" r:id="rId16"/>
    <sheet name="Schedules" sheetId="15" state="visible" r:id="rId17"/>
    <sheet name="Rasio" sheetId="16" state="visible" r:id="rId18"/>
    <sheet name="Rekonsiliasi" sheetId="17" state="visible" r:id="rId19"/>
    <sheet name="Temuan" sheetId="18" state="visible" r:id="rId20"/>
    <sheet name="Database" sheetId="19" state="visible" r:id="rId21"/>
    <sheet name="Data_Log" sheetId="20" state="visible" r:id="rId22"/>
  </sheets>
  <definedNames>
    <definedName function="false" hidden="true" localSheetId="18" name="_xlnm._FilterDatabase" vbProcedure="false">Database!$A$4:$M$1010</definedName>
    <definedName function="false" hidden="true" localSheetId="16" name="_xlnm._FilterDatabase" vbProcedure="false">Rekonsiliasi!$A$6:$L$360</definedName>
    <definedName function="false" hidden="false" localSheetId="2" name="_xlnm.Print_Area" vbProcedure="false">Ringkasan!$A$1:$I$102</definedName>
    <definedName function="false" hidden="false" localSheetId="2" name="_xlnm.Print_Titles" vbProcedure="false">Ringkasan!$1:$2</definedName>
  </definedNames>
  <calcPr iterateCount="100" refMode="A1" iterate="false" iterateDelta="0.0001"/>
  <extLst>
    <ext xmlns:loext="http://schemas.libreoffice.org/" uri="{7626C862-2A13-11E5-B345-FEFF819CDC9F}">
      <loext:extCalcPr stringRefSyntax="ExcelA1"/>
    </ext>
  </extLst>
</workbook>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O5" authorId="0">
      <text>
        <r>
          <rPr>
            <sz val="10"/>
            <rFont val="Arial"/>
            <family val="2"/>
          </rPr>
          <t xml:space="preserve">Porsi rawat jalan terhadap pendapatan RS (rawat inap + rawat jalan, Cat 20). Definisi per emiten bisa berbeda; samakan sebelum membandingkan.</t>
        </r>
      </text>
      <mc:AlternateContent>
        <mc:Choice Requires="v2">
          <commentPr autoFill="true" autoScale="false" colHidden="false" locked="false" rowHidden="false" textHAlign="justify" textVAlign="top">
            <anchor moveWithCells="false" sizeWithCells="false">
              <xdr:from>
                <xdr:col>1</xdr:col>
                <xdr:colOff>20</xdr:colOff>
                <xdr:row>0</xdr:row>
                <xdr:rowOff>5</xdr:rowOff>
              </xdr:from>
              <xdr:to>
                <xdr:col>2</xdr:col>
                <xdr:colOff>-117</xdr:colOff>
                <xdr:row>3</xdr:row>
                <xdr:rowOff>21</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CARE tercatat di BEI sejak IPO efektif 28 Feb 2020. Ringkasan XBRL IDX FS-2020/2021 terblokir (HTTP 403); kolom 2020 diambil dari LK konsolidasian audited FY2021 (komparatif 2020, situs emiten), kolom 2021 dari komparatif LK FY2022 disilang ke LK FY2021. 2020 tanpa CALK.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CARE tercatat di BEI sejak IPO efektif 28 Feb 2020. Ringkasan XBRL IDX FS-2020/2021 terblokir (HTTP 403); kolom 2020 diambil dari LK konsolidasian audited FY2021 (komparatif 2020, situs emiten), kolom 2021 dari komparatif LK FY2022 disilang ke LK FY2021. 2020 tanpa CALK.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CARE tercatat di BEI sejak IPO efektif 28 Feb 2020. Ringkasan XBRL IDX FS-2020/2021 terblokir (HTTP 403); kolom 2020 diambil dari LK konsolidasian audited FY2021 (komparatif 2020, situs emiten), kolom 2021 dari komparatif LK FY2022 disilang ke LK FY2021. 2020 tanpa CALK.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CARE tercatat di BEI sejak IPO efektif 28 Feb 2020. Ringkasan XBRL IDX FS-2020/2021 terblokir (HTTP 403); kolom 2020 diambil dari LK konsolidasian audited FY2021 (komparatif 2020, situs emiten), kolom 2021 dari komparatif LK FY2022 disilang ke LK FY2021. 2020 tanpa CALK.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3</xdr:row>
                <xdr:rowOff>11</xdr:rowOff>
              </xdr:to>
            </anchor>
          </commentPr>
        </mc:Choice>
        <mc:Fallback/>
      </mc:AlternateContent>
    </comment>
  </commentList>
</comments>
</file>

<file path=xl/sharedStrings.xml><?xml version="1.0" encoding="utf-8"?>
<sst xmlns="http://schemas.openxmlformats.org/spreadsheetml/2006/main" count="13062" uniqueCount="1605">
  <si>
    <t xml:space="preserve">PT Metro Healthcare Indonesia Tbk (CARE) - Model data fundamental 6 tahun &amp; proyeksi ilustratif</t>
  </si>
  <si>
    <t xml:space="preserve">Historis FY2020-FY2025 (laporan keuangan konsolidasian audited) | proyeksi ilustratif FY2026-FY2030 | Format: PRO</t>
  </si>
  <si>
    <t xml:space="preserve">Penting - sifat dokumen</t>
  </si>
  <si>
    <t xml:space="preserve">Bukan rekomendasi</t>
  </si>
  <si>
    <t xml:space="preserve">Dokumen ini hanya ringkasan informasi dan analisis data fundamental yang bersumber dari laporan keuangan publik (audited) PT Metro Healthcare Indonesia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</si>
  <si>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Proyeksi</t>
  </si>
  <si>
    <t xml:space="preserve">Angka FY..E adalah proyeksi ILUSTRATIF berbasis asumsi transparan di sheet Asumsi (Base/Bull/Bear), dikalibrasi dari tren FY2022-2025. Tidak ada target, nilai wajar, atau kesimpulan nilai per saham.</t>
  </si>
  <si>
    <t xml:space="preserve">Sumber data</t>
  </si>
  <si>
    <t xml:space="preserve">Laporan keuangan konsolidasian audited PT Metro Healthcare Indonesia Tbk FY2021-FY2025. Kolom 2021 dari komparatif LK FY2022 (disilangkan ke LK FY2021); kolom 2020 dari komparatif LK FY2021 (ringkasan XBRL IDX tidak dapat diunduh, HTTP 403), tanpa CALK. Lihat Data_Log &amp; Temuan.</t>
  </si>
  <si>
    <t xml:space="preserve">Hak cipta &amp; lisensi</t>
  </si>
  <si>
    <t xml:space="preserve">Hak cipta</t>
  </si>
  <si>
    <t xml:space="preserve">©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t>
  </si>
  <si>
    <t xml:space="preserve">Versi</t>
  </si>
  <si>
    <t xml:space="preserve">v1.0</t>
  </si>
  <si>
    <t xml:space="preserve">Tanggal terbit</t>
  </si>
  <si>
    <t xml:space="preserve">2026-10-25</t>
  </si>
  <si>
    <t xml:space="preserve">ID file</t>
  </si>
  <si>
    <t xml:space="preserve">CARE-FY2025-v1.0-21844D70</t>
  </si>
  <si>
    <t xml:space="preserve">Format</t>
  </si>
  <si>
    <t xml:space="preserve">Data terbuka</t>
  </si>
  <si>
    <t xml:space="preserve">Data dan model ini terbuka dan gratis untuk semua orang.</t>
  </si>
  <si>
    <t xml:space="preserve">Format output</t>
  </si>
  <si>
    <t xml:space="preserve">Tiga format (bukan tingkatan akses, semuanya gratis): Ritel (PDF ringkasan 4 halaman), Akademik (Excel data historis, rasio, rekonsiliasi), Pro (Excel model penuh dengan proyeksi ilustratif &amp; template DCF kosong).</t>
  </si>
  <si>
    <t xml:space="preserve">Informasi model</t>
  </si>
  <si>
    <t xml:space="preserve">Emiten</t>
  </si>
  <si>
    <t xml:space="preserve">PT Metro Healthcare Indonesia Tbk dan Entitas Anaknya (kode CARE) - rumah sakit swasta</t>
  </si>
  <si>
    <t xml:space="preserve">Satuan</t>
  </si>
  <si>
    <t xml:space="preserve">Rupiah penuh (Ringkasan/Dashboard: Rp miliar); beban &amp; arus kas keluar negatif (kurung)</t>
  </si>
  <si>
    <t xml:space="preserve">Tahun historis</t>
  </si>
  <si>
    <t xml:space="preserve">FY2020, FY2021, FY2022, FY2023, FY2024, FY2025</t>
  </si>
  <si>
    <t xml:space="preserve">Status rekonsiliasi</t>
  </si>
  <si>
    <t xml:space="preserve">Skenario aktif</t>
  </si>
  <si>
    <t xml:space="preserve">Dibangun</t>
  </si>
  <si>
    <t xml:space="preserve">25-10-2026 oleh /workspace/emiten/common/build_model.py --ticker CARE</t>
  </si>
  <si>
    <t xml:space="preserve">Daftar sheet</t>
  </si>
  <si>
    <t xml:space="preserve">Cover</t>
  </si>
  <si>
    <t xml:space="preserve">Sifat dokumen, lisensi, keterangan warna</t>
  </si>
  <si>
    <t xml:space="preserve">Panduan</t>
  </si>
  <si>
    <t xml:space="preserve">Cara memakai model ini</t>
  </si>
  <si>
    <t xml:space="preserve">Ringkasan</t>
  </si>
  <si>
    <t xml:space="preserve">Ringkasan siap cetak/PDF (A4): highlights, indikator utama, grafik, tanda perhatian</t>
  </si>
  <si>
    <t xml:space="preserve">Dashboard</t>
  </si>
  <si>
    <t xml:space="preserve">Indikator &amp; grafik historis + proyeksi ilustratif</t>
  </si>
  <si>
    <t xml:space="preserve">Asumsi</t>
  </si>
  <si>
    <t xml:space="preserve">Selektor skenario Base/Bull/Bear &amp; driver per tahun, dengan dasar kalibrasi FY2022-2025</t>
  </si>
  <si>
    <t xml:space="preserve">IS_Proj</t>
  </si>
  <si>
    <t xml:space="preserve">Proyeksi laba rugi (pendapatan per layanan, EBITDA, laba)</t>
  </si>
  <si>
    <t xml:space="preserve">BS_Proj</t>
  </si>
  <si>
    <t xml:space="preserve">Proyeksi neraca agregat; kas = penyeimbang; cek balance</t>
  </si>
  <si>
    <t xml:space="preserve">CF_Proj</t>
  </si>
  <si>
    <t xml:space="preserve">Proyeksi arus kas tidak langsung; FCF</t>
  </si>
  <si>
    <t xml:space="preserve">Schedules_Proj</t>
  </si>
  <si>
    <t xml:space="preserve">Aset tetap, aset takberwujud, sewa, utang, modal kerja</t>
  </si>
  <si>
    <t xml:space="preserve">DCF_Template</t>
  </si>
  <si>
    <t xml:space="preserve">Kalkulator DCF opsional dengan input KOSONG (tanpa kesimpulan)</t>
  </si>
  <si>
    <t xml:space="preserve">Peer</t>
  </si>
  <si>
    <t xml:space="preserve">Tabel pembanding fundamental (input kosong, tanpa kelipatan pasar)</t>
  </si>
  <si>
    <t xml:space="preserve">IS</t>
  </si>
  <si>
    <t xml:space="preserve">Laba rugi &amp; OCI FY2020-2025</t>
  </si>
  <si>
    <t xml:space="preserve">BS</t>
  </si>
  <si>
    <t xml:space="preserve">Posisi keuangan FY2020-2025</t>
  </si>
  <si>
    <t xml:space="preserve">CF</t>
  </si>
  <si>
    <t xml:space="preserve">Arus kas (metode langsung) FY2020-2025</t>
  </si>
  <si>
    <t xml:space="preserve">Schedules</t>
  </si>
  <si>
    <t xml:space="preserve">Rincian CALK FY2021-2025 (FY2020 tidak dimuat): pendapatan per layanan, D&amp;A, mutasi aset tetap, rincian catatan 20-25, EPS</t>
  </si>
  <si>
    <t xml:space="preserve">Rasio</t>
  </si>
  <si>
    <t xml:space="preserve">Rasio 6 tahun + rata-rata FY2022-25</t>
  </si>
  <si>
    <t xml:space="preserve">Rekonsiliasi</t>
  </si>
  <si>
    <t xml:space="preserve">Semua cek dengan status, ekspektasi, dan penjelasan</t>
  </si>
  <si>
    <t xml:space="preserve">Temuan</t>
  </si>
  <si>
    <t xml:space="preserve">Inkonsistensi laporan &amp; catatan forensik</t>
  </si>
  <si>
    <t xml:space="preserve">Database</t>
  </si>
  <si>
    <t xml:space="preserve">Format panjang untuk digabung antar emiten</t>
  </si>
  <si>
    <t xml:space="preserve">Data_Log</t>
  </si>
  <si>
    <t xml:space="preserve">Sumber per tahun, pemetaan akun, override</t>
  </si>
  <si>
    <t xml:space="preserve">Panduan pemakaian</t>
  </si>
  <si>
    <t xml:space="preserve">Format PRO (model penuh) - gratis &amp; terbuka; bukan rekomendasi investasi</t>
  </si>
  <si>
    <t xml:space="preserve">Langkah</t>
  </si>
  <si>
    <t xml:space="preserve">1. Mulai</t>
  </si>
  <si>
    <t xml:space="preserve">Baca Cover (sifat dokumen) lalu Ringkasan (siap cetak A4: File &gt; Print/Export PDF untuk sheet Ringkasan).</t>
  </si>
  <si>
    <t xml:space="preserve">2. Data historis</t>
  </si>
  <si>
    <t xml:space="preserve">IS, BS, CF berisi angka laporan (biru) dan subtotal rumus (hitam). Baris 3 menyebut sumber tiap kolom; kolom FY2020 berlatar oranye = kolom pertama, dari komparatif LK FY2021 (Temuan C2); FY2021 dari komparatif LK FY2022 (C1).</t>
  </si>
  <si>
    <t xml:space="preserve">3. Rincian &amp; rasio</t>
  </si>
  <si>
    <t xml:space="preserve">Schedules memuat rincian catatan (CALK) FY2021-2025; bagian A merangkum angka yang dipakai Rasio. Rasio memakai rumus hidup dan kolom rata-rata FY2022-25.</t>
  </si>
  <si>
    <t xml:space="preserve">4. Cek kualitas</t>
  </si>
  <si>
    <t xml:space="preserve">Rekonsiliasi: kolom "Sesuai ekspektasi?" harus ✔ untuk semua baris. ❌ yang diharapkan adalah selisih di laporan sumber dan dijelaskan di kolom Penjelasan / sheet Temuan.</t>
  </si>
  <si>
    <t xml:space="preserve">5. Proyeksi ilustratif</t>
  </si>
  <si>
    <t xml:space="preserve">Pilih skenario di Asumsi!C4 (Base/Bull/Bear). Ubah sel biru di blok skenario untuk mencoba asumsi sendiri; IS_Proj, BS_Proj, CF_Proj ikut berubah. Cek BS_Proj baris "Cek" harus 0.</t>
  </si>
  <si>
    <t xml:space="preserve">6. Template DCF (opsional)</t>
  </si>
  <si>
    <t xml:space="preserve">Isi sendiri sel kuning (Rf, ERP, beta, Kd, pajak, bobot utang, g / kelipatan). Tanpa input, template tidak menghitung apa pun. Hasil adalah keluaran rumus atas input Anda, bukan nilai wajar atau rekomendasi.</t>
  </si>
  <si>
    <t xml:space="preserve">7. Peer</t>
  </si>
  <si>
    <t xml:space="preserve">Isi data fundamental pembanding dari laporan publik masing-masing emiten beserta sumbernya. Tidak ada angka pembanding yang dikarang di file ini.</t>
  </si>
  <si>
    <t xml:space="preserve">Keterangan warna</t>
  </si>
  <si>
    <t xml:space="preserve">Biru</t>
  </si>
  <si>
    <t xml:space="preserve">Input / angka dari laporan (bisa diubah)</t>
  </si>
  <si>
    <t xml:space="preserve">Hitam</t>
  </si>
  <si>
    <t xml:space="preserve">Rumus di sheet yang sama</t>
  </si>
  <si>
    <t xml:space="preserve">Hijau</t>
  </si>
  <si>
    <t xml:space="preserve">Rumus yang merujuk sheet lain</t>
  </si>
  <si>
    <t xml:space="preserve">Kuning</t>
  </si>
  <si>
    <t xml:space="preserve">Sel yang perlu diisi/diverifikasi pengguna atau angka yang dikoreksi (ada komentar sel)</t>
  </si>
  <si>
    <t xml:space="preserve">Oranye</t>
  </si>
  <si>
    <t xml:space="preserve">Kolom FY2020 (kolom pertama) dari komparatif LK FY2021</t>
  </si>
  <si>
    <t xml:space="preserve">Biru muda</t>
  </si>
  <si>
    <t xml:space="preserve">Kolom tahun proyeksi (E) - ilustratif</t>
  </si>
  <si>
    <t xml:space="preserve">Definisi penting</t>
  </si>
  <si>
    <t xml:space="preserve">EBITDA</t>
  </si>
  <si>
    <t xml:space="preserve">Laba (rugi) usaha (laba bruto + beban usaha; pendapatan/beban lain disajikan di bawahnya) + penyusutan aset tetap (Cat 21).</t>
  </si>
  <si>
    <t xml:space="preserve">Utang</t>
  </si>
  <si>
    <t xml:space="preserve">Utang berbunga: pinjaman bank jangka pendek &amp; panjang, pinjaman lembaga keuangan, wesel bayar/sukuk. Utang neto = utang - kas. CARE tidak memiliki liabilitas sewa.</t>
  </si>
  <si>
    <t xml:space="preserve">EPS</t>
  </si>
  <si>
    <t xml:space="preserve">EPS tercetak memakai saham rata-rata tertimbang (CALK); Rasio juga menyajikan laba induk / saham tercatat (Temuan C3).</t>
  </si>
  <si>
    <t xml:space="preserve">Rupiah penuh kecuali disebut (Ringkasan/Dashboard: Rp miliar). Beban &amp; arus kas keluar bertanda negatif.</t>
  </si>
  <si>
    <t xml:space="preserve">Daftar sheet (format ini)</t>
  </si>
  <si>
    <t xml:space="preserve">Batasan</t>
  </si>
  <si>
    <t xml:space="preserve">Data</t>
  </si>
  <si>
    <t xml:space="preserve">Angka diekstrak dari PDF dan dapat mengandung kesalahan; cek ke laporan asli sebelum dipakai.</t>
  </si>
  <si>
    <t xml:space="preserve">Asumsi sederhana: pos neraca lain konstan (termasuk investasi jk pendek), utang konstan, beban keuangan = suku bunga x utang, tanpa OCI baru, tanpa pendanaan baru. Hasil sangat sensitif terhadap asumsi.</t>
  </si>
  <si>
    <t xml:space="preserve">Bukan saran</t>
  </si>
  <si>
    <t xml:space="preserve">Metro Healthcare Indonesia (CARE) | Ringkasan FY2020-FY2025</t>
  </si>
  <si>
    <t xml:space="preserve">Rumah sakit swasta (Cinere, Ciputat, Cibitung &amp; lainnya) | sumber: laporan keuangan konsolidasian audited | gratis &amp; terbuka | BUKAN rekomendasi investasi</t>
  </si>
  <si>
    <t xml:space="preserve">Penting: Dokumen ini hanya ringkasan informasi dan analisis data fundamental yang bersumber dari laporan keuangan publik (audited) PT Metro Healthcare Indonesia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</si>
  <si>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Ringkasan Eksekutif / Highlights</t>
  </si>
  <si>
    <t xml:space="preserve">•  Pendapatan neto FY2025 Rp440 miliar (+37,8% vs FY2024), termasuk pendapatan investasi Rp97,8 miliar; pendapatan rumah sakit (rawat inap + rawat jalan) Rp342 miliar.</t>
  </si>
  <si>
    <t xml:space="preserve">•  Rawat inap tumbuh 16,2% per tahun dan rawat jalan 25,1% per tahun FY2023-2025; porsi rawat jalan 30,2% pendapatan RS FY2025.</t>
  </si>
  <si>
    <t xml:space="preserve">•  Laba pemilik induk FY2025 Rp5,0 miliar (EPS Rp0,15) setelah rugi tiga tahun (FY2022-2024 total Rp-285 miliar).</t>
  </si>
  <si>
    <t xml:space="preserve">•  Utang berbunga Rp1.084 miliar vs kas Rp420 miliar (FY2025); beban keuangan Rp80 miliar melebihi EBITDA rumah sakit. Tidak ada dividen FY2020-FY2025.</t>
  </si>
  <si>
    <t xml:space="preserve">•  Data 6 tahun direkonsiliasi dengan 354 cek; 3 selisih di laporan sumber sudah diperkirakan dan dijelaskan (lihat tanda perhatian &amp; sheet Temuan).</t>
  </si>
  <si>
    <t xml:space="preserve">Indikator utama (Rp miliar, kecuali disebut lain) - rumus hidup dari sheet IS/BS/CF/Rasio</t>
  </si>
  <si>
    <t xml:space="preserve">Indikator</t>
  </si>
  <si>
    <t xml:space="preserve">FY2020A</t>
  </si>
  <si>
    <t xml:space="preserve">FY2021A</t>
  </si>
  <si>
    <t xml:space="preserve">FY2022A</t>
  </si>
  <si>
    <t xml:space="preserve">FY2023A</t>
  </si>
  <si>
    <t xml:space="preserve">FY2024A</t>
  </si>
  <si>
    <t xml:space="preserve">FY2025A</t>
  </si>
  <si>
    <t xml:space="preserve">Pendapatan neto</t>
  </si>
  <si>
    <t xml:space="preserve">  Pertumbuhan</t>
  </si>
  <si>
    <t xml:space="preserve">Porsi rawat jalan</t>
  </si>
  <si>
    <t xml:space="preserve">n/a</t>
  </si>
  <si>
    <t xml:space="preserve">  Margin EBITDA</t>
  </si>
  <si>
    <t xml:space="preserve">Laba tahun berjalan</t>
  </si>
  <si>
    <t xml:space="preserve">Laba pemilik entitas induk</t>
  </si>
  <si>
    <t xml:space="preserve">  Porsi laba ke NCI</t>
  </si>
  <si>
    <t xml:space="preserve">ROE (rata-rata ekuitas induk)</t>
  </si>
  <si>
    <t xml:space="preserve">Arus kas operasi</t>
  </si>
  <si>
    <t xml:space="preserve">Capex</t>
  </si>
  <si>
    <t xml:space="preserve">Utang neto (utang berbunga - kas)</t>
  </si>
  <si>
    <t xml:space="preserve">  Utang neto / EBITDA (x)</t>
  </si>
  <si>
    <t xml:space="preserve">DSO piutang (hari)</t>
  </si>
  <si>
    <t xml:space="preserve">Tarif pajak efektif</t>
  </si>
  <si>
    <t xml:space="preserve">Catatan: kolom FY2021 dari komparatif LK FY2022, FY2020 dari komparatif LK FY2021 (EBITDA 2020 tidak dihitung: CALK 2020 tidak dimuat). EBITDA = laba (rugi) usaha + penyusutan aset tetap. Utang = bank + lembaga keuangan + wesel/sukuk.</t>
  </si>
  <si>
    <t xml:space="preserve">Tren 6 tahun</t>
  </si>
  <si>
    <t xml:space="preserve">Batang = pendapatan RS per layanan (Cat 20, tanpa pendapatan investasi 2025 &amp; diskon); garis putus-putus = porsi rawat jalan (sumbu kanan).</t>
  </si>
  <si>
    <t xml:space="preserve">Kiri: margin terhadap pendapatan neto. Kanan: arus kas operasi (abu-abu), capex (arsir), dan sisanya (garis).</t>
  </si>
  <si>
    <t xml:space="preserve">Tanda perhatian dari laporan keuangan (bahasa sederhana)</t>
  </si>
  <si>
    <t xml:space="preserve">1. Beban bunga besar - Utang bank, pinjaman lembaga keuangan dan sukuk sekitar Rp1 triliun; bunganya lebih besar dari EBITDA rumah sakit, sehingga laba sangat bergantung pada pendapatan nonoperasi. (Temuan C6)</t>
  </si>
  <si>
    <t xml:space="preserve">2. Pendapatan 2025 termasuk pendapatan investasi - Laba 2025 kembali positif terutama karena pendapatan investasi dicatat di dalam pendapatan; pos ini tidak diasumsikan berulang. (Temuan C5)</t>
  </si>
  <si>
    <t xml:space="preserve">3. Penyajian ulang 2022 - LK 2023 mengubah pendapatan &amp; beban pokok 2022 menjadi bruto (diskon dipindah ke beban pokok); model memakai angka asli, sehingga 2021-2022 vs 2023+ tidak sebanding penuh. (Temuan C4)</t>
  </si>
  <si>
    <t xml:space="preserve">4. Sumber 2020-2021 - Angka 2021 dari kolom pembanding LK 2022 (dicocokkan ke LK 2021); angka 2020 dari kolom pembanding LK 2021 karena ringkasan XBRL BEI tidak dapat diunduh. (Temuan C1, C2)</t>
  </si>
  <si>
    <t xml:space="preserve">5. Kas proyeksi - Pada skenario Base kas dapat menipis/negatif karena rugi dan capex; artinya butuh pendanaan tambahan, yang tidak dimodelkan. (Temuan C7)</t>
  </si>
  <si>
    <t xml:space="preserve">Detail lengkap ada di sheet Temuan dan Rekonsiliasi. Tanda perhatian bukan tuduhan kecurangan; ini daftar hal yang perlu dicek ulang ke laporan asli.</t>
  </si>
  <si>
    <t xml:space="preserve">Lisensi &amp; format</t>
  </si>
  <si>
    <t xml:space="preserve">Sumber &amp; metode</t>
  </si>
  <si>
    <t xml:space="preserve">FY2020: LK FY2021 (komparatif); FY2021: LK FY2022 (komparatif); FY2022: LK FY2022; FY2023: LK FY2023; FY2024: LK FY2024; FY2025: LK FY2025.</t>
  </si>
  <si>
    <t xml:space="preserve">Angka diekstrak dua kali secara independen dari PDF laporan keuangan (FY2020-2021: kolom komparatif LK berikutnya), dibandingkan dengan angka komparatif tahun berikutnya, lalu dicek silang (354 cek: subtotal, neraca seimbang, kas, saldo laba, CALK vs laporan, EPS). Rasio dihitung dengan rumus terbuka di sheet Rasio.</t>
  </si>
  <si>
    <t xml:space="preserve">Disclaimer</t>
  </si>
  <si>
    <t xml:space="preserve">Dokumen ini hanya ringkasan informasi dan analisis data fundamental yang bersumber dari laporan keuangan publik (audited) PT Metro Healthcare Indonesia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 Penyusun tidak bertanggung jawab atas keputusan apa pun yang diambil berdasarkan dokumen ini. Dokumen ini disusun pada 25-10-2026.</t>
  </si>
  <si>
    <t xml:space="preserve">Dashboard - historis FY2020-FY2025 &amp; proyeksi ilustratif FY2026-FY2030 (skenario aktif)</t>
  </si>
  <si>
    <t xml:space="preserve">Rp miliar. Kolom E = Proyeksi ILUSTRATIF berbasis asumsi transparan - bukan rekomendasi investasi, bukan target, bukan nilai wajar. Tidak ada nilai per saham/target di sheet ini.</t>
  </si>
  <si>
    <t xml:space="preserve">Skenario aktif:</t>
  </si>
  <si>
    <t xml:space="preserve">FY2026E</t>
  </si>
  <si>
    <t xml:space="preserve">FY2027E</t>
  </si>
  <si>
    <t xml:space="preserve">FY2028E</t>
  </si>
  <si>
    <t xml:space="preserve">FY2029E</t>
  </si>
  <si>
    <t xml:space="preserve">FY2030E</t>
  </si>
  <si>
    <t xml:space="preserve">Catatan</t>
  </si>
  <si>
    <t xml:space="preserve">Pertumbuhan pendapatan</t>
  </si>
  <si>
    <t xml:space="preserve">Margin EBITDA</t>
  </si>
  <si>
    <t xml:space="preserve">FCF setelah sewa</t>
  </si>
  <si>
    <t xml:space="preserve">Kas akhir</t>
  </si>
  <si>
    <t xml:space="preserve">Utang neto (utang + sewa - kas)</t>
  </si>
  <si>
    <t xml:space="preserve">Utang neto / EBITDA</t>
  </si>
  <si>
    <t xml:space="preserve">ROE</t>
  </si>
  <si>
    <t xml:space="preserve">Cek balance BS_Proj (harus 0)</t>
  </si>
  <si>
    <t xml:space="preserve">Asumsi proyeksi ilustratif FY2026E-FY2030E (Base / Bull / Bear)</t>
  </si>
  <si>
    <t xml:space="preserve">Proyeksi ILUSTRATIF berbasis asumsi transparan - bukan rekomendasi investasi, bukan target, bukan nilai wajar.</t>
  </si>
  <si>
    <t xml:space="preserve">Base</t>
  </si>
  <si>
    <t xml:space="preserve">&lt;- pilih Base / Bull / Bear. Kolom historis = aktual (rumus dari IS/BS/CF/Schedules); kolom E = asumsi skenario aktif.</t>
  </si>
  <si>
    <t xml:space="preserve">Kalibrasi</t>
  </si>
  <si>
    <t xml:space="preserve">Asumsi dikalibrasi dari FY2023-FY2025 (RS mulai beroperasi penuh). FY2020-2022 (masa IPO/COVID, basis pendapatan berbeda) tidak dipakai sebagai patokan.</t>
  </si>
  <si>
    <t xml:space="preserve">Kunci</t>
  </si>
  <si>
    <t xml:space="preserve">Driver</t>
  </si>
  <si>
    <t xml:space="preserve">Dasar asumsi (kalibrasi FY2022-FY2025)</t>
  </si>
  <si>
    <t xml:space="preserve">ASUMSI AKTIF - kolom historis = aktual (rumus), kolom E = skenario terpilih</t>
  </si>
  <si>
    <t xml:space="preserve">PENDAPATAN (per jenis layanan, Cat 20)</t>
  </si>
  <si>
    <t xml:space="preserve">g_inpat</t>
  </si>
  <si>
    <t xml:space="preserve">Pertumbuhan pendapatan rawat inap</t>
  </si>
  <si>
    <t xml:space="preserve">Pendapatan: 2022 174 M, 2023 177 M, 2024 231 M, 2025 239 M. CAGR 2023-25 16,2% (fase ramp-up RS baru). Base 12%; Bull 16%; Bear 7%.</t>
  </si>
  <si>
    <t xml:space="preserve">g_outpat</t>
  </si>
  <si>
    <t xml:space="preserve">Pertumbuhan pendapatan rawat jalan</t>
  </si>
  <si>
    <t xml:space="preserve">Pendapatan: 2022 87 M, 2023 66 M, 2024 88 M, 2025 103 M. CAGR 2023-25 25,1%. Base 15%; Bull 20%; Bear 9%.</t>
  </si>
  <si>
    <t xml:space="preserve">MARGIN &amp; BIAYA (% pendapatan neto)</t>
  </si>
  <si>
    <t xml:space="preserve">cogs</t>
  </si>
  <si>
    <t xml:space="preserve">Beban pokok di luar penyusutan</t>
  </si>
  <si>
    <t xml:space="preserve">Historis: 2022 49,1%, 2023 54,2%, 2024 59,2%, 2025 45,1% (2025 diturunkan oleh pendapatan investasi 97,8 M di pendapatan; Temuan C5). Atas pendapatan RS saja 2025 ±57%. Base 57%; Bull 55%; Bear 60%.</t>
  </si>
  <si>
    <t xml:space="preserve">opex</t>
  </si>
  <si>
    <t xml:space="preserve">Beban usaha di luar penyusutan</t>
  </si>
  <si>
    <t xml:space="preserve">Historis: 2022 67,0%, 2023 51,8%, 2024 42,2%, 2025 33,0%. Atas pendapatan RS saja 2025 ±42%; skala operasi menurunkan rasio. Base 38%; Bull 35%; Bear 42%.</t>
  </si>
  <si>
    <t xml:space="preserve">other_op</t>
  </si>
  <si>
    <t xml:space="preserve">Pendapatan (beban) lain neto (di bawah laba usaha)</t>
  </si>
  <si>
    <t xml:space="preserve">Historis: 2022 0,0%, 2023 0,0%, 2024 0,0%, 2025 0,0% (2022 &amp; 2024 memuat pos tidak berulang). Base 0,5%; Bull 0,8%; Bear 0,3%.</t>
  </si>
  <si>
    <t xml:space="preserve">INVESTASI &amp; ASET</t>
  </si>
  <si>
    <t xml:space="preserve">capex</t>
  </si>
  <si>
    <t xml:space="preserve">Capex aset tetap + uang muka aset tetap (% pendapatan)</t>
  </si>
  <si>
    <t xml:space="preserve">Historis kas: 2022 124,1%, 2023 5,2%, 2024 71,1%, 2025 47,9% (pembangunan RS selesai). Base 8%; Bull 6%; Bear 12%.</t>
  </si>
  <si>
    <t xml:space="preserve">lease_pd</t>
  </si>
  <si>
    <t xml:space="preserve">Penambahan sewa dikapitalisasi (% pendapatan; CARE: tidak ada)</t>
  </si>
  <si>
    <t xml:space="preserve">CARE tidak memiliki liabilitas sewa; 0 di semua skenario.</t>
  </si>
  <si>
    <t xml:space="preserve">dep</t>
  </si>
  <si>
    <t xml:space="preserve">Penyusutan aset tetap (% aset tetap neto awal)</t>
  </si>
  <si>
    <t xml:space="preserve">Historis: 2022 0,8%, 2023 0,6%, 2024 0,8%, 2025 0,8% (porsi besar aset tetap = tanah &amp; bangunan dalam penyelesaian). Base/Bull/Bear = rata-rata 2023-25.</t>
  </si>
  <si>
    <t xml:space="preserve">sw</t>
  </si>
  <si>
    <t xml:space="preserve">Amortisasi aset takberwujud (CARE: goodwill, tidak diamortisasi)</t>
  </si>
  <si>
    <t xml:space="preserve">Goodwill tidak diamortisasi; 0.</t>
  </si>
  <si>
    <t xml:space="preserve">MODAL KERJA (hari, saldo akhir, basis 365)</t>
  </si>
  <si>
    <t xml:space="preserve">dso</t>
  </si>
  <si>
    <t xml:space="preserve">DSO piutang usaha / pendapatan</t>
  </si>
  <si>
    <t xml:space="preserve">Historis: 2022 30,4, 2023 44,8, 2024 44,9, 2025 26,9. Base 40; Bull 35; Bear 45.</t>
  </si>
  <si>
    <t xml:space="preserve">dio</t>
  </si>
  <si>
    <t xml:space="preserve">DIO persediaan / beban pokok di luar penyusutan</t>
  </si>
  <si>
    <t xml:space="preserve">Historis: 2022 12,1, 2023 13,3, 2024 12,1, 2025 9,8. Base 11; Bull 10; Bear 12.</t>
  </si>
  <si>
    <t xml:space="preserve">dpo</t>
  </si>
  <si>
    <t xml:space="preserve">DPO utang usaha / beban pokok di luar penyusutan</t>
  </si>
  <si>
    <t xml:space="preserve">Historis: 2022 85,4, 2023 118,1, 2024 48,5, 2025 38,9. Base 45; Bull 50; Bear 40.</t>
  </si>
  <si>
    <t xml:space="preserve">PAJAK, PENDANAAN, DISTRIBUSI</t>
  </si>
  <si>
    <t xml:space="preserve">tax</t>
  </si>
  <si>
    <t xml:space="preserve">Tarif pajak (% laba sebelum pajak positif; rugi = 0)</t>
  </si>
  <si>
    <t xml:space="preserve">Historis tarif efektif: 2022 -0,3%, 2023 -4,3%, 2024 -5,5%, 2025 36,2% (tidak bermakna saat rugi; pajak tangguhan). Tarif badan 22% hanya pada laba positif.</t>
  </si>
  <si>
    <t xml:space="preserve">fin_cost</t>
  </si>
  <si>
    <t xml:space="preserve">Suku bunga efektif (beban keuangan / rata-rata utang berbunga)</t>
  </si>
  <si>
    <t xml:space="preserve">Historis: 2023 8,04%, 2024 8,14%, 2025 7,92%. Base = rata-rata 2023-25; Bull x0,9; Bear x1,1. Beban = suku bunga x rata-rata utang (Temuan C6).</t>
  </si>
  <si>
    <t xml:space="preserve">yld</t>
  </si>
  <si>
    <t xml:space="preserve">Imbal hasil kas (penghasilan keuangan / kas awal)</t>
  </si>
  <si>
    <t xml:space="preserve">Historis: 2022 5,86%, 2023 1,24%, 2024 1,19%, 2025 3,46%. Base = rata-rata 2023-25; Bear x0,8; tanpa circular reference.</t>
  </si>
  <si>
    <t xml:space="preserve">debt_chg</t>
  </si>
  <si>
    <t xml:space="preserve">Perubahan neto utang (Rp; + = tambah)</t>
  </si>
  <si>
    <t xml:space="preserve">Historis utang berbunga: 2022 957 M, 2023 955 M, 2024 944 M, 2025 1.084 M. Semua skenario 0 (kas = penyeimbang; refinancing tidak dimodelkan).</t>
  </si>
  <si>
    <t xml:space="preserve">payout</t>
  </si>
  <si>
    <t xml:space="preserve">Payout dividen (% laba induk tahun lalu)</t>
  </si>
  <si>
    <t xml:space="preserve">CARE tidak membagi dividen FY2020-2025 dan masih defisit; 0 di semua skenario.</t>
  </si>
  <si>
    <t xml:space="preserve">nci_share</t>
  </si>
  <si>
    <t xml:space="preserve">Porsi laba ke NCI (% laba tahun berjalan)</t>
  </si>
  <si>
    <t xml:space="preserve">Historis: 2022 0,1%, 2023 -0,2%, 2024 -0,5%, 2025 3,7%. 3,7% semua skenario.</t>
  </si>
  <si>
    <t xml:space="preserve">SKENARIO BASE - input biru per tahun (boleh diubah pengguna)</t>
  </si>
  <si>
    <t xml:space="preserve">Base.g_inpat</t>
  </si>
  <si>
    <t xml:space="preserve">Base.g_outpat</t>
  </si>
  <si>
    <t xml:space="preserve">Base.cogs</t>
  </si>
  <si>
    <t xml:space="preserve">Base.opex</t>
  </si>
  <si>
    <t xml:space="preserve">Base.other_op</t>
  </si>
  <si>
    <t xml:space="preserve">Base.capex</t>
  </si>
  <si>
    <t xml:space="preserve">Base.lease_pd</t>
  </si>
  <si>
    <t xml:space="preserve">Base.dep</t>
  </si>
  <si>
    <t xml:space="preserve">Base.sw</t>
  </si>
  <si>
    <t xml:space="preserve">Base.dso</t>
  </si>
  <si>
    <t xml:space="preserve">Base.dio</t>
  </si>
  <si>
    <t xml:space="preserve">Base.dpo</t>
  </si>
  <si>
    <t xml:space="preserve">Base.tax</t>
  </si>
  <si>
    <t xml:space="preserve">Base.fin_cost</t>
  </si>
  <si>
    <t xml:space="preserve">Base.yld</t>
  </si>
  <si>
    <t xml:space="preserve">Base.debt_chg</t>
  </si>
  <si>
    <t xml:space="preserve">Base.payout</t>
  </si>
  <si>
    <t xml:space="preserve">Base.nci_share</t>
  </si>
  <si>
    <t xml:space="preserve">SKENARIO BULL - input biru per tahun (boleh diubah pengguna)</t>
  </si>
  <si>
    <t xml:space="preserve">Bull.g_inpat</t>
  </si>
  <si>
    <t xml:space="preserve">Bull.g_outpat</t>
  </si>
  <si>
    <t xml:space="preserve">Bull.cogs</t>
  </si>
  <si>
    <t xml:space="preserve">Bull.opex</t>
  </si>
  <si>
    <t xml:space="preserve">Bull.other_op</t>
  </si>
  <si>
    <t xml:space="preserve">Bull.capex</t>
  </si>
  <si>
    <t xml:space="preserve">Bull.lease_pd</t>
  </si>
  <si>
    <t xml:space="preserve">Bull.dep</t>
  </si>
  <si>
    <t xml:space="preserve">Bull.sw</t>
  </si>
  <si>
    <t xml:space="preserve">Bull.dso</t>
  </si>
  <si>
    <t xml:space="preserve">Bull.dio</t>
  </si>
  <si>
    <t xml:space="preserve">Bull.dpo</t>
  </si>
  <si>
    <t xml:space="preserve">Bull.tax</t>
  </si>
  <si>
    <t xml:space="preserve">Bull.fin_cost</t>
  </si>
  <si>
    <t xml:space="preserve">Bull.yld</t>
  </si>
  <si>
    <t xml:space="preserve">Bull.debt_chg</t>
  </si>
  <si>
    <t xml:space="preserve">Bull.payout</t>
  </si>
  <si>
    <t xml:space="preserve">Bull.nci_share</t>
  </si>
  <si>
    <t xml:space="preserve">SKENARIO BEAR - input biru per tahun (boleh diubah pengguna)</t>
  </si>
  <si>
    <t xml:space="preserve">Bear.g_inpat</t>
  </si>
  <si>
    <t xml:space="preserve">Bear.g_outpat</t>
  </si>
  <si>
    <t xml:space="preserve">Bear.cogs</t>
  </si>
  <si>
    <t xml:space="preserve">Bear.opex</t>
  </si>
  <si>
    <t xml:space="preserve">Bear.other_op</t>
  </si>
  <si>
    <t xml:space="preserve">Bear.capex</t>
  </si>
  <si>
    <t xml:space="preserve">Bear.lease_pd</t>
  </si>
  <si>
    <t xml:space="preserve">Bear.dep</t>
  </si>
  <si>
    <t xml:space="preserve">Bear.sw</t>
  </si>
  <si>
    <t xml:space="preserve">Bear.dso</t>
  </si>
  <si>
    <t xml:space="preserve">Bear.dio</t>
  </si>
  <si>
    <t xml:space="preserve">Bear.dpo</t>
  </si>
  <si>
    <t xml:space="preserve">Bear.tax</t>
  </si>
  <si>
    <t xml:space="preserve">Bear.fin_cost</t>
  </si>
  <si>
    <t xml:space="preserve">Bear.yld</t>
  </si>
  <si>
    <t xml:space="preserve">Bear.debt_chg</t>
  </si>
  <si>
    <t xml:space="preserve">Bear.payout</t>
  </si>
  <si>
    <t xml:space="preserve">Bear.nci_share</t>
  </si>
  <si>
    <t xml:space="preserve">INPUT UMUM</t>
  </si>
  <si>
    <t xml:space="preserve">shares</t>
  </si>
  <si>
    <t xml:space="preserve">Jumlah saham ditempatkan &amp; disetor (lembar)</t>
  </si>
  <si>
    <t xml:space="preserve">LK FY2025: 33.250.000.000 saham x Rp100 (tidak berubah sejak IPO 2020). Rata-rata tertimbang 2021-2025 = 33.250.000.000.</t>
  </si>
  <si>
    <t xml:space="preserve">Proyeksi laba rugi (ilustratif)</t>
  </si>
  <si>
    <t xml:space="preserve">Rp penuh | kolom A = aktual (link ke IS/BS/CF/Schedules), kolom E = proyeksi | Proyeksi ILUSTRATIF berbasis asumsi transparan - bukan rekomendasi investasi, bukan target, bukan nilai wajar.</t>
  </si>
  <si>
    <t xml:space="preserve">ilustratif</t>
  </si>
  <si>
    <t xml:space="preserve">Kode</t>
  </si>
  <si>
    <t xml:space="preserve">Akun</t>
  </si>
  <si>
    <t xml:space="preserve">Catatan / sumber</t>
  </si>
  <si>
    <t xml:space="preserve">PENDAPATAN (per jenis layanan)</t>
  </si>
  <si>
    <t xml:space="preserve">P.REV_INPAT</t>
  </si>
  <si>
    <t xml:space="preserve">Rawat inap</t>
  </si>
  <si>
    <t xml:space="preserve">P.REV_OUTPAT</t>
  </si>
  <si>
    <t xml:space="preserve">Rawat jalan</t>
  </si>
  <si>
    <t xml:space="preserve">P.REV_OTHER</t>
  </si>
  <si>
    <t xml:space="preserve">Lainnya (pendapatan investasi 2025) &amp; diskon (2021-22)</t>
  </si>
  <si>
    <t xml:space="preserve">E: 0 (tidak berulang; Temuan C4-C5)</t>
  </si>
  <si>
    <t xml:space="preserve">P.REVENUE</t>
  </si>
  <si>
    <t xml:space="preserve">P.REV_GROWTH</t>
  </si>
  <si>
    <t xml:space="preserve">  Pertumbuhan pendapatan neto</t>
  </si>
  <si>
    <t xml:space="preserve">BIAYA &amp; EBITDA</t>
  </si>
  <si>
    <t xml:space="preserve">P.COGS_X</t>
  </si>
  <si>
    <t xml:space="preserve">P.GP_X</t>
  </si>
  <si>
    <t xml:space="preserve">Laba bruto sebelum penyusutan</t>
  </si>
  <si>
    <t xml:space="preserve">P.OPEX_X</t>
  </si>
  <si>
    <t xml:space="preserve">Beban usaha di luar penyusutan &amp; amortisasi</t>
  </si>
  <si>
    <t xml:space="preserve">P.EBITDA</t>
  </si>
  <si>
    <t xml:space="preserve">laba (rugi) usaha + penyusutan aset tetap (FY2020 kosong: Temuan C2)</t>
  </si>
  <si>
    <t xml:space="preserve">P.DA</t>
  </si>
  <si>
    <t xml:space="preserve">Penyusutan &amp; amortisasi</t>
  </si>
  <si>
    <t xml:space="preserve">P.EBIT</t>
  </si>
  <si>
    <t xml:space="preserve">Laba (rugi) usaha (EBIT)</t>
  </si>
  <si>
    <t xml:space="preserve">historis: = laba usaha IS (cek di Rekonsiliasi)</t>
  </si>
  <si>
    <t xml:space="preserve">P.OTHER_OP</t>
  </si>
  <si>
    <t xml:space="preserve">Pendapatan (beban) lain neto</t>
  </si>
  <si>
    <t xml:space="preserve">P.FIN_INC</t>
  </si>
  <si>
    <t xml:space="preserve">Penghasilan keuangan</t>
  </si>
  <si>
    <t xml:space="preserve">E: imbal hasil x kas awal</t>
  </si>
  <si>
    <t xml:space="preserve">P.FIN_COST</t>
  </si>
  <si>
    <t xml:space="preserve">Beban keuangan</t>
  </si>
  <si>
    <t xml:space="preserve">E: suku bunga x rata-rata utang (Temuan C6)</t>
  </si>
  <si>
    <t xml:space="preserve">P.PBT</t>
  </si>
  <si>
    <t xml:space="preserve">Laba sebelum pajak</t>
  </si>
  <si>
    <t xml:space="preserve">P.TAX</t>
  </si>
  <si>
    <t xml:space="preserve">Beban pajak</t>
  </si>
  <si>
    <t xml:space="preserve">P.NI</t>
  </si>
  <si>
    <t xml:space="preserve">P.NI_NCI</t>
  </si>
  <si>
    <t xml:space="preserve">  Diatribusikan ke NCI</t>
  </si>
  <si>
    <t xml:space="preserve">P.NI_PARENT</t>
  </si>
  <si>
    <t xml:space="preserve">  Diatribusikan ke pemilik entitas induk</t>
  </si>
  <si>
    <t xml:space="preserve">P.EPS</t>
  </si>
  <si>
    <t xml:space="preserve">Laba induk per saham (Rp; / 33.250.000.000 saham)</t>
  </si>
  <si>
    <t xml:space="preserve">saham tetap sejak IPO</t>
  </si>
  <si>
    <t xml:space="preserve">MARGIN</t>
  </si>
  <si>
    <t xml:space="preserve">P.GM_X</t>
  </si>
  <si>
    <t xml:space="preserve">Margin laba bruto sebelum penyusutan</t>
  </si>
  <si>
    <t xml:space="preserve">P.EBITDA_M</t>
  </si>
  <si>
    <t xml:space="preserve">P.EBIT_M</t>
  </si>
  <si>
    <t xml:space="preserve">Margin EBIT</t>
  </si>
  <si>
    <t xml:space="preserve">P.NI_M</t>
  </si>
  <si>
    <t xml:space="preserve">Margin laba bersih</t>
  </si>
  <si>
    <t xml:space="preserve">Proyeksi posisi keuangan agregat (ilustratif)</t>
  </si>
  <si>
    <t xml:space="preserve">ASET</t>
  </si>
  <si>
    <t xml:space="preserve">PB.CASH</t>
  </si>
  <si>
    <t xml:space="preserve">Kas dan setara kas</t>
  </si>
  <si>
    <t xml:space="preserve">E: penyeimbang dari CF_Proj</t>
  </si>
  <si>
    <t xml:space="preserve">PB.AR</t>
  </si>
  <si>
    <t xml:space="preserve">Piutang usaha</t>
  </si>
  <si>
    <t xml:space="preserve">PB.INV</t>
  </si>
  <si>
    <t xml:space="preserve">Persediaan</t>
  </si>
  <si>
    <t xml:space="preserve">PB.OCA</t>
  </si>
  <si>
    <t xml:space="preserve">Aset lancar lainnya</t>
  </si>
  <si>
    <t xml:space="preserve">termasuk investasi jk pendek; E: konstan</t>
  </si>
  <si>
    <t xml:space="preserve">PB.TCA</t>
  </si>
  <si>
    <t xml:space="preserve">Jumlah aset lancar</t>
  </si>
  <si>
    <t xml:space="preserve">PB.PPE</t>
  </si>
  <si>
    <t xml:space="preserve">Aset tetap - neto</t>
  </si>
  <si>
    <t xml:space="preserve">PB.INTANG</t>
  </si>
  <si>
    <t xml:space="preserve">Goodwill</t>
  </si>
  <si>
    <t xml:space="preserve">PB.ONCA</t>
  </si>
  <si>
    <t xml:space="preserve">Aset tidak lancar lainnya</t>
  </si>
  <si>
    <t xml:space="preserve">E: konstan</t>
  </si>
  <si>
    <t xml:space="preserve">PB.TNCA</t>
  </si>
  <si>
    <t xml:space="preserve">Jumlah aset tidak lancar</t>
  </si>
  <si>
    <t xml:space="preserve">PB.TA</t>
  </si>
  <si>
    <t xml:space="preserve">JUMLAH ASET</t>
  </si>
  <si>
    <t xml:space="preserve">LIABILITAS</t>
  </si>
  <si>
    <t xml:space="preserve">PB.AP</t>
  </si>
  <si>
    <t xml:space="preserve">Utang usaha</t>
  </si>
  <si>
    <t xml:space="preserve">PB.DEBT</t>
  </si>
  <si>
    <t xml:space="preserve">Utang berbunga (bank, lembaga keuangan, wesel/sukuk)</t>
  </si>
  <si>
    <t xml:space="preserve">PB.LEASE</t>
  </si>
  <si>
    <t xml:space="preserve">Liabilitas sewa (tidak ada)</t>
  </si>
  <si>
    <t xml:space="preserve">PB.OL</t>
  </si>
  <si>
    <t xml:space="preserve">Liabilitas lainnya</t>
  </si>
  <si>
    <t xml:space="preserve">akrual, utang lain, pajak, imbalan kerja, dll; E: konstan</t>
  </si>
  <si>
    <t xml:space="preserve">PB.TL</t>
  </si>
  <si>
    <t xml:space="preserve">JUMLAH LIABILITAS</t>
  </si>
  <si>
    <t xml:space="preserve">EKUITAS</t>
  </si>
  <si>
    <t xml:space="preserve">PB.EQ_OTHER</t>
  </si>
  <si>
    <t xml:space="preserve">Modal &amp; cadangan (selain saldo laba)</t>
  </si>
  <si>
    <t xml:space="preserve">PB.RE</t>
  </si>
  <si>
    <t xml:space="preserve">Saldo laba</t>
  </si>
  <si>
    <t xml:space="preserve">PB.EQ_PARENT</t>
  </si>
  <si>
    <t xml:space="preserve">Ekuitas pemilik entitas induk</t>
  </si>
  <si>
    <t xml:space="preserve">PB.NCI</t>
  </si>
  <si>
    <t xml:space="preserve">Kepentingan nonpengendali</t>
  </si>
  <si>
    <t xml:space="preserve">E: tanpa dividen ke NCI (ilustratif)</t>
  </si>
  <si>
    <t xml:space="preserve">PB.TE</t>
  </si>
  <si>
    <t xml:space="preserve">JUMLAH EKUITAS</t>
  </si>
  <si>
    <t xml:space="preserve">PB.TLE</t>
  </si>
  <si>
    <t xml:space="preserve">JUMLAH LIABILITAS DAN EKUITAS</t>
  </si>
  <si>
    <t xml:space="preserve">PB.CHECK</t>
  </si>
  <si>
    <t xml:space="preserve">Cek: aset - (liabilitas + ekuitas), harus 0</t>
  </si>
  <si>
    <t xml:space="preserve">PB.NETDEBT</t>
  </si>
  <si>
    <t xml:space="preserve">Memo: utang neto (utang berbunga - kas)</t>
  </si>
  <si>
    <t xml:space="preserve">PB.ROE</t>
  </si>
  <si>
    <t xml:space="preserve">Memo: ROE (laba induk / rata-rata ekuitas induk)</t>
  </si>
  <si>
    <t xml:space="preserve">PB.ND_EBITDA</t>
  </si>
  <si>
    <t xml:space="preserve">Memo: utang neto / EBITDA</t>
  </si>
  <si>
    <t xml:space="preserve">Proyeksi arus kas (metode tidak langsung untuk tahun E)</t>
  </si>
  <si>
    <t xml:space="preserve">ARUS KAS OPERASI</t>
  </si>
  <si>
    <t xml:space="preserve">PC.NI</t>
  </si>
  <si>
    <t xml:space="preserve">PC.DA</t>
  </si>
  <si>
    <t xml:space="preserve">Penyusutan &amp; amortisasi (nonkas)</t>
  </si>
  <si>
    <t xml:space="preserve">PC.D_AR</t>
  </si>
  <si>
    <t xml:space="preserve">(Kenaikan) piutang usaha</t>
  </si>
  <si>
    <t xml:space="preserve">PC.D_INV</t>
  </si>
  <si>
    <t xml:space="preserve">(Kenaikan) persediaan</t>
  </si>
  <si>
    <t xml:space="preserve">PC.D_AP</t>
  </si>
  <si>
    <t xml:space="preserve">Kenaikan utang usaha</t>
  </si>
  <si>
    <t xml:space="preserve">PC.CFO</t>
  </si>
  <si>
    <t xml:space="preserve">historis: laporan (metode langsung); E: tidak langsung</t>
  </si>
  <si>
    <t xml:space="preserve">ARUS KAS INVESTASI</t>
  </si>
  <si>
    <t xml:space="preserve">PC.CAPEX</t>
  </si>
  <si>
    <t xml:space="preserve">Capex aset tetap + uang muka</t>
  </si>
  <si>
    <t xml:space="preserve">PC.SW</t>
  </si>
  <si>
    <t xml:space="preserve">Capex aset takberwujud (tidak ada)</t>
  </si>
  <si>
    <t xml:space="preserve">PC.CFI</t>
  </si>
  <si>
    <t xml:space="preserve">Arus kas investasi</t>
  </si>
  <si>
    <t xml:space="preserve">historis: total laporan (termasuk penempatan/pencairan deposito &amp; akuisisi)</t>
  </si>
  <si>
    <t xml:space="preserve">ARUS KAS PENDANAAN</t>
  </si>
  <si>
    <t xml:space="preserve">PC.DEBT</t>
  </si>
  <si>
    <t xml:space="preserve">Perubahan neto utang berbunga (kas)</t>
  </si>
  <si>
    <t xml:space="preserve">PC.LEASE</t>
  </si>
  <si>
    <t xml:space="preserve">Pembayaran sewa (tidak ada)</t>
  </si>
  <si>
    <t xml:space="preserve">PC.DIV</t>
  </si>
  <si>
    <t xml:space="preserve">Dividen dibayar</t>
  </si>
  <si>
    <t xml:space="preserve">PC.CFF</t>
  </si>
  <si>
    <t xml:space="preserve">Arus kas pendanaan</t>
  </si>
  <si>
    <t xml:space="preserve">historis: total laporan</t>
  </si>
  <si>
    <t xml:space="preserve">PC.NET</t>
  </si>
  <si>
    <t xml:space="preserve">Kenaikan (penurunan) neto kas</t>
  </si>
  <si>
    <t xml:space="preserve">PC.CASH_BEGIN</t>
  </si>
  <si>
    <t xml:space="preserve">Kas awal tahun</t>
  </si>
  <si>
    <t xml:space="preserve">E: kas neraca</t>
  </si>
  <si>
    <t xml:space="preserve">PC.CASH_END</t>
  </si>
  <si>
    <t xml:space="preserve">Kas akhir tahun</t>
  </si>
  <si>
    <t xml:space="preserve">MEMO: ARUS KAS BEBAS</t>
  </si>
  <si>
    <t xml:space="preserve">PC.FCF</t>
  </si>
  <si>
    <t xml:space="preserve">FCF = arus kas operasi + capex</t>
  </si>
  <si>
    <t xml:space="preserve">PC.FCF_L</t>
  </si>
  <si>
    <t xml:space="preserve">FCF setelah pembayaran sewa</t>
  </si>
  <si>
    <t xml:space="preserve">Schedule proyeksi: aset tetap, ROU &amp; sewa, utang, modal kerja</t>
  </si>
  <si>
    <t xml:space="preserve">ASET TETAP</t>
  </si>
  <si>
    <t xml:space="preserve">S.PPE_BEG</t>
  </si>
  <si>
    <t xml:space="preserve">Aset tetap neto awal</t>
  </si>
  <si>
    <t xml:space="preserve">S.CAPEX</t>
  </si>
  <si>
    <t xml:space="preserve">Capex (kas)</t>
  </si>
  <si>
    <t xml:space="preserve">S.LEASE_PD</t>
  </si>
  <si>
    <t xml:space="preserve">Sewa dikapitalisasi (CARE: 0)</t>
  </si>
  <si>
    <t xml:space="preserve">S.DEP</t>
  </si>
  <si>
    <t xml:space="preserve">Penyusutan aset tetap</t>
  </si>
  <si>
    <t xml:space="preserve">S.PPE_END</t>
  </si>
  <si>
    <t xml:space="preserve">Aset tetap neto akhir</t>
  </si>
  <si>
    <t xml:space="preserve">historis: neraca (memuat penambahan nonkas, pelepasan, penurunan nilai)</t>
  </si>
  <si>
    <t xml:space="preserve">GOODWILL (konstan)</t>
  </si>
  <si>
    <t xml:space="preserve">S.INT_BEG</t>
  </si>
  <si>
    <t xml:space="preserve">Aset takberwujud awal</t>
  </si>
  <si>
    <t xml:space="preserve">S.SW_AMORT</t>
  </si>
  <si>
    <t xml:space="preserve">Amortisasi aset takberwujud</t>
  </si>
  <si>
    <t xml:space="preserve">S.SW_CAPEX</t>
  </si>
  <si>
    <t xml:space="preserve">Capex aset takberwujud (= amortisasi)</t>
  </si>
  <si>
    <t xml:space="preserve">S.INT_END</t>
  </si>
  <si>
    <t xml:space="preserve">Aset takberwujud akhir</t>
  </si>
  <si>
    <t xml:space="preserve">LIABILITAS SEWA</t>
  </si>
  <si>
    <t xml:space="preserve">S.LEASE_BEG</t>
  </si>
  <si>
    <t xml:space="preserve">Liabilitas sewa awal</t>
  </si>
  <si>
    <t xml:space="preserve">S.LEASE_END</t>
  </si>
  <si>
    <t xml:space="preserve">Liabilitas sewa akhir</t>
  </si>
  <si>
    <t xml:space="preserve">CARE tidak memiliki liabilitas sewa</t>
  </si>
  <si>
    <t xml:space="preserve">S.LEASE_AVG</t>
  </si>
  <si>
    <t xml:space="preserve">Rata-rata liabilitas sewa</t>
  </si>
  <si>
    <t xml:space="preserve">UTANG BERBUNGA</t>
  </si>
  <si>
    <t xml:space="preserve">S.DEBT_BEG</t>
  </si>
  <si>
    <t xml:space="preserve">Utang awal</t>
  </si>
  <si>
    <t xml:space="preserve">S.DEBT_CHG</t>
  </si>
  <si>
    <t xml:space="preserve">Perubahan neto (tarik / (bayar))</t>
  </si>
  <si>
    <t xml:space="preserve">S.DEBT_END</t>
  </si>
  <si>
    <t xml:space="preserve">Utang akhir</t>
  </si>
  <si>
    <t xml:space="preserve">S.DEBT_AVG</t>
  </si>
  <si>
    <t xml:space="preserve">Rata-rata utang</t>
  </si>
  <si>
    <t xml:space="preserve">MODAL KERJA</t>
  </si>
  <si>
    <t xml:space="preserve">S.AR</t>
  </si>
  <si>
    <t xml:space="preserve">Piutang usaha (DSO x pendapatan / 365)</t>
  </si>
  <si>
    <t xml:space="preserve">S.INV</t>
  </si>
  <si>
    <t xml:space="preserve">Persediaan (DIO x beban pokok / 365)</t>
  </si>
  <si>
    <t xml:space="preserve">S.AP</t>
  </si>
  <si>
    <t xml:space="preserve">Utang usaha (DPO x beban pokok / 365)</t>
  </si>
  <si>
    <t xml:space="preserve">S.NWC</t>
  </si>
  <si>
    <t xml:space="preserve">Modal kerja usaha neto</t>
  </si>
  <si>
    <t xml:space="preserve">S.D_NWC</t>
  </si>
  <si>
    <t xml:space="preserve">(Kenaikan) modal kerja</t>
  </si>
  <si>
    <t xml:space="preserve">Template DCF opsional - kalkulator untuk pengguna (input KOSONG)</t>
  </si>
  <si>
    <t xml:space="preserve">Sel kuning diisi sendiri oleh pengguna dan perlu diverifikasi. Hasil sepenuhnya bergantung pada input pengguna; BUKAN nilai wajar, target, atau rekomendasi dari penyusun.</t>
  </si>
  <si>
    <t xml:space="preserve">INPUT (kosong = template tidak menghitung)</t>
  </si>
  <si>
    <t xml:space="preserve">Suku bunga bebas risiko (Rf)</t>
  </si>
  <si>
    <t xml:space="preserve">perlu diisi/diverifikasi: mis. imbal hasil SUN 10 tahun; catat sumber &amp; tanggal</t>
  </si>
  <si>
    <t xml:space="preserve">Equity risk premium (ERP)</t>
  </si>
  <si>
    <t xml:space="preserve">perlu diisi/diverifikasi: catat sumber</t>
  </si>
  <si>
    <t xml:space="preserve">Beta (levered)</t>
  </si>
  <si>
    <t xml:space="preserve">perlu diisi/diverifikasi: metode, periode &amp; indeks acuan</t>
  </si>
  <si>
    <t xml:space="preserve">Premi tambahan (ukuran/spesifik), opsional</t>
  </si>
  <si>
    <t xml:space="preserve">perlu diisi/diverifikasi: isi 0 bila tidak dipakai</t>
  </si>
  <si>
    <t xml:space="preserve">Biaya utang sebelum pajak (Kd)</t>
  </si>
  <si>
    <t xml:space="preserve">perlu diisi/diverifikasi</t>
  </si>
  <si>
    <t xml:space="preserve">Tarif pajak untuk perisai bunga</t>
  </si>
  <si>
    <t xml:space="preserve">perlu diisi/diverifikasi: tarif PPh badan berlaku</t>
  </si>
  <si>
    <t xml:space="preserve">Bobot utang D/(D+E) target</t>
  </si>
  <si>
    <t xml:space="preserve">Pertumbuhan terminal (g) - metode Gordon</t>
  </si>
  <si>
    <t xml:space="preserve">Kelipatan EV/EBITDA terminal - metode exit multiple</t>
  </si>
  <si>
    <t xml:space="preserve">perlu diisi/diverifikasi: dokumentasikan sumber</t>
  </si>
  <si>
    <t xml:space="preserve">Aset non-operasi ditambahkan (Rp), mis. investasi saham</t>
  </si>
  <si>
    <t xml:space="preserve">Input inti lengkap? (Rf, ERP, beta, Kd, pajak, bobot utang)</t>
  </si>
  <si>
    <t xml:space="preserve">Siap hitung metode Gordon?</t>
  </si>
  <si>
    <t xml:space="preserve">Siap hitung metode exit multiple?</t>
  </si>
  <si>
    <t xml:space="preserve">WACC</t>
  </si>
  <si>
    <t xml:space="preserve">Biaya ekuitas Ke = Rf + beta x ERP + premi</t>
  </si>
  <si>
    <t xml:space="preserve">Biaya utang setelah pajak</t>
  </si>
  <si>
    <t xml:space="preserve">FCFF (mengikuti skenario aktif di Asumsi)</t>
  </si>
  <si>
    <t xml:space="preserve">Periode diskonto (tahun, akhir periode)</t>
  </si>
  <si>
    <t xml:space="preserve">EBIT</t>
  </si>
  <si>
    <t xml:space="preserve">Pajak atas EBIT (tarif dari Asumsi)</t>
  </si>
  <si>
    <t xml:space="preserve">NOPAT</t>
  </si>
  <si>
    <t xml:space="preserve">+ D&amp;A</t>
  </si>
  <si>
    <t xml:space="preserve">- Capex</t>
  </si>
  <si>
    <t xml:space="preserve">- Kenaikan modal kerja</t>
  </si>
  <si>
    <t xml:space="preserve">FCFF</t>
  </si>
  <si>
    <t xml:space="preserve">Faktor diskonto</t>
  </si>
  <si>
    <t xml:space="preserve">PV FCFF</t>
  </si>
  <si>
    <t xml:space="preserve">Catatan IFRS 16: FCFF sebelum pembayaran sewa, sehingga liabilitas sewa diperlakukan sebagai utang di jembatan ekuitas.</t>
  </si>
  <si>
    <t xml:space="preserve">NILAI PERUSAHAAN &amp; JEMBATAN EKUITAS (hasil kalkulator)</t>
  </si>
  <si>
    <t xml:space="preserve">Gordon</t>
  </si>
  <si>
    <t xml:space="preserve">Exit multiple</t>
  </si>
  <si>
    <t xml:space="preserve">Σ PV FCFF</t>
  </si>
  <si>
    <t xml:space="preserve">Nilai terminal (akhir FY2030E)</t>
  </si>
  <si>
    <t xml:space="preserve">PV nilai terminal</t>
  </si>
  <si>
    <t xml:space="preserve">Nilai perusahaan (EV)</t>
  </si>
  <si>
    <t xml:space="preserve">(-) Utang bank FY2025A</t>
  </si>
  <si>
    <t xml:space="preserve">(-) Liabilitas sewa FY2025A</t>
  </si>
  <si>
    <t xml:space="preserve">(+) Kas FY2025A</t>
  </si>
  <si>
    <t xml:space="preserve">(-) Kepentingan nonpengendali (nilai buku FY2025A)</t>
  </si>
  <si>
    <t xml:space="preserve">(+) Aset non-operasi (input)</t>
  </si>
  <si>
    <t xml:space="preserve">Nilai ekuitas</t>
  </si>
  <si>
    <t xml:space="preserve">Nilai ekuitas per saham (Rp)</t>
  </si>
  <si>
    <t xml:space="preserve">Hanya keluaran rumus atas input pengguna; bukan target, bukan nilai wajar, bukan rekomendasi. NCI dikurangkan pada nilai buku (penyederhanaan).</t>
  </si>
  <si>
    <t xml:space="preserve">SENSITIVITAS nilai ekuitas per saham (Gordon): WACC (baris) x g (kolom)</t>
  </si>
  <si>
    <t xml:space="preserve">WACC \ g</t>
  </si>
  <si>
    <t xml:space="preserve">Template ini sengaja tidak memuat perbandingan dengan data pasar. Pengguna bertanggung jawab penuh atas input dan interpretasinya.</t>
  </si>
  <si>
    <t xml:space="preserve">Tabel pembanding - data FUNDAMENTAL saja (baris pembanding kosong)</t>
  </si>
  <si>
    <t xml:space="preserve">Isi hanya dengan data terverifikasi dari laporan keuangan publik tiap emiten; cantumkan sumber &amp; tanggal akses. Tidak ada angka yang dikarang.</t>
  </si>
  <si>
    <t xml:space="preserve">Nama emiten</t>
  </si>
  <si>
    <t xml:space="preserve">Fokus usaha</t>
  </si>
  <si>
    <t xml:space="preserve">Tahun buku</t>
  </si>
  <si>
    <t xml:space="preserve">Pendapatan (Rp miliar)</t>
  </si>
  <si>
    <t xml:space="preserve">ROA</t>
  </si>
  <si>
    <t xml:space="preserve">Utang / ekuitas</t>
  </si>
  <si>
    <t xml:space="preserve">Jumlah RS</t>
  </si>
  <si>
    <t xml:space="preserve">Jumlah tempat tidur</t>
  </si>
  <si>
    <t xml:space="preserve">Porsi pendapatan rawat jalan</t>
  </si>
  <si>
    <t xml:space="preserve">Sumber (laporan, halaman)</t>
  </si>
  <si>
    <t xml:space="preserve">Tanggal akses</t>
  </si>
  <si>
    <t xml:space="preserve">CARE</t>
  </si>
  <si>
    <t xml:space="preserve">PT Metro Healthcare Indonesia Tbk</t>
  </si>
  <si>
    <t xml:space="preserve">Jaringan rumah sakit swasta</t>
  </si>
  <si>
    <t xml:space="preserve">Model ini (laporan audited FY2025)</t>
  </si>
  <si>
    <t xml:space="preserve">Median pembanding (tanpa CARE)</t>
  </si>
  <si>
    <t xml:space="preserve">Rata-rata pembanding (tanpa CARE)</t>
  </si>
  <si>
    <t xml:space="preserve">Tabel ini sengaja tidak memuat kelipatan pasar (P/E, P/BV, EV/EBITDA): isinya ringkasan data fundamental, bukan penilaian.</t>
  </si>
  <si>
    <t xml:space="preserve">Laporan Laba Rugi &amp; OCI - historis FY2020A-FY2025A</t>
  </si>
  <si>
    <t xml:space="preserve">Rp penuh. Biru = input dari CARE_seri_2020_2025.json (LK audited, Rupiah penuh), hitam = rumus. Kolom 2021 dari komparatif LK FY2022 (disilang ke LK FY2021); kolom 2020 dari komparatif LK audited FY2021 (ringkasan XBRL IDX terblokir).</t>
  </si>
  <si>
    <t xml:space="preserve">Sumber kolom</t>
  </si>
  <si>
    <t xml:space="preserve">LK FY2021 (komparatif)</t>
  </si>
  <si>
    <t xml:space="preserve">LK FY2022 (komparatif)</t>
  </si>
  <si>
    <t xml:space="preserve">LK FY2022</t>
  </si>
  <si>
    <t xml:space="preserve">LK FY2023</t>
  </si>
  <si>
    <t xml:space="preserve">LK FY2024</t>
  </si>
  <si>
    <t xml:space="preserve">LK FY2025</t>
  </si>
  <si>
    <t xml:space="preserve">Catatan sumber: CARE tercatat di BEI sejak IPO efektif 28 Feb 2020. Ringkasan XBRL IDX FS-2020/2021 terblokir (HTTP 403); kolom 2020 diambil dari LK konsolidasian audited FY2021 (kompara</t>
  </si>
  <si>
    <t xml:space="preserve">LABA RUGI</t>
  </si>
  <si>
    <t xml:space="preserve">IS.REVENUE</t>
  </si>
  <si>
    <t xml:space="preserve">Pendapatan neto (Cat 20)</t>
  </si>
  <si>
    <t xml:space="preserve">kunci JSON: pendapatan_neto</t>
  </si>
  <si>
    <t xml:space="preserve">IS.COGS</t>
  </si>
  <si>
    <t xml:space="preserve">Beban pokok pendapatan (Cat 21)</t>
  </si>
  <si>
    <t xml:space="preserve">kunci JSON: beban_pokok</t>
  </si>
  <si>
    <t xml:space="preserve">IS.GROSS_PROFIT</t>
  </si>
  <si>
    <t xml:space="preserve">Laba bruto</t>
  </si>
  <si>
    <t xml:space="preserve">IS.OPEX_TOTAL</t>
  </si>
  <si>
    <t xml:space="preserve">Beban usaha (umum &amp; administrasi, Cat 22)</t>
  </si>
  <si>
    <t xml:space="preserve">kunci JSON: beban_usaha</t>
  </si>
  <si>
    <t xml:space="preserve">IS.OPER_PROFIT</t>
  </si>
  <si>
    <t xml:space="preserve">Laba (rugi) usaha</t>
  </si>
  <si>
    <t xml:space="preserve">IS.OTHER_INCOME</t>
  </si>
  <si>
    <t xml:space="preserve">Pendapatan (beban) lain-lain - neto (Cat 25; di bawah laba usaha)</t>
  </si>
  <si>
    <t xml:space="preserve">kunci JSON: pendapatan_lain</t>
  </si>
  <si>
    <t xml:space="preserve">IS.OTHER_OPER_NET</t>
  </si>
  <si>
    <t xml:space="preserve">Pendapatan (beban) lain-lain - neto (memo rumus)</t>
  </si>
  <si>
    <t xml:space="preserve">IS.FIN_INCOME</t>
  </si>
  <si>
    <t xml:space="preserve">Penghasilan keuangan (Cat 23)</t>
  </si>
  <si>
    <t xml:space="preserve">kunci JSON: penghasilan_keuangan</t>
  </si>
  <si>
    <t xml:space="preserve">IS.FIN_COST</t>
  </si>
  <si>
    <t xml:space="preserve">Beban keuangan (Cat 24)</t>
  </si>
  <si>
    <t xml:space="preserve">kunci JSON: beban_keuangan</t>
  </si>
  <si>
    <t xml:space="preserve">IS.PBT</t>
  </si>
  <si>
    <t xml:space="preserve">Laba (rugi) sebelum pajak</t>
  </si>
  <si>
    <t xml:space="preserve">IS.TAX_TOTAL</t>
  </si>
  <si>
    <t xml:space="preserve">Beban pajak penghasilan</t>
  </si>
  <si>
    <t xml:space="preserve">kunci JSON: beban_pajak</t>
  </si>
  <si>
    <t xml:space="preserve">IS.NET_INCOME</t>
  </si>
  <si>
    <t xml:space="preserve">PENGHASILAN KOMPREHENSIF LAIN (OCI)</t>
  </si>
  <si>
    <t xml:space="preserve">IS.OCI_REMEASURE</t>
  </si>
  <si>
    <t xml:space="preserve">Pengukuran kembali program imbalan pasti</t>
  </si>
  <si>
    <t xml:space="preserve">kunci JSON: oci_remeasurement</t>
  </si>
  <si>
    <t xml:space="preserve">IS.OCI_TAX</t>
  </si>
  <si>
    <t xml:space="preserve">Pajak terkait</t>
  </si>
  <si>
    <t xml:space="preserve">kunci JSON: oci_pajak_terkait</t>
  </si>
  <si>
    <t xml:space="preserve">IS.OCI_TOTAL</t>
  </si>
  <si>
    <t xml:space="preserve">Jumlah OCI</t>
  </si>
  <si>
    <t xml:space="preserve">IS.TCI</t>
  </si>
  <si>
    <t xml:space="preserve">Jumlah laba komprehensif</t>
  </si>
  <si>
    <t xml:space="preserve">ATRIBUSI &amp; PER SAHAM</t>
  </si>
  <si>
    <t xml:space="preserve">IS.NI_PARENT</t>
  </si>
  <si>
    <t xml:space="preserve">Laba diatribusikan ke pemilik entitas induk</t>
  </si>
  <si>
    <t xml:space="preserve">kunci JSON: laba_induk</t>
  </si>
  <si>
    <t xml:space="preserve">IS.NI_NCI</t>
  </si>
  <si>
    <t xml:space="preserve">Laba diatribusikan ke kepentingan nonpengendali (NCI)</t>
  </si>
  <si>
    <t xml:space="preserve">kunci JSON: laba_nci</t>
  </si>
  <si>
    <t xml:space="preserve">IS.TCI_PARENT</t>
  </si>
  <si>
    <t xml:space="preserve">Laba komprehensif - pemilik entitas induk</t>
  </si>
  <si>
    <t xml:space="preserve">kunci JSON: tci_induk</t>
  </si>
  <si>
    <t xml:space="preserve">IS.TCI_NCI</t>
  </si>
  <si>
    <t xml:space="preserve">Laba komprehensif - NCI</t>
  </si>
  <si>
    <t xml:space="preserve">kunci JSON: tci_nci</t>
  </si>
  <si>
    <t xml:space="preserve">IS.EPS_BASIC</t>
  </si>
  <si>
    <t xml:space="preserve">Laba per saham dasar tercetak (Rp, penuh)</t>
  </si>
  <si>
    <t xml:space="preserve">kunci JSON: eps_dasar</t>
  </si>
  <si>
    <t xml:space="preserve">IS.EPS_DILUTED</t>
  </si>
  <si>
    <t xml:space="preserve">Laba per saham dilusian tercetak (Rp, penuh)</t>
  </si>
  <si>
    <t xml:space="preserve">kunci JSON: eps_dilusian</t>
  </si>
  <si>
    <t xml:space="preserve">MEMO: RINCIAN PAJAK (tidak dipakai rumus)</t>
  </si>
  <si>
    <t xml:space="preserve">IS.TAX_CURRENT</t>
  </si>
  <si>
    <t xml:space="preserve">Pajak kini</t>
  </si>
  <si>
    <t xml:space="preserve">kunci JSON: pajak_kini</t>
  </si>
  <si>
    <t xml:space="preserve">IS.TAX_DEFERRED</t>
  </si>
  <si>
    <t xml:space="preserve">Pajak tangguhan</t>
  </si>
  <si>
    <t xml:space="preserve">kunci JSON: pajak_tangguhan</t>
  </si>
  <si>
    <t xml:space="preserve">MEMO: SUBTOTAL TERCETAK DI LK (untuk Rekonsiliasi)</t>
  </si>
  <si>
    <t xml:space="preserve">IS.GROSS_PROFIT_PRINTED</t>
  </si>
  <si>
    <t xml:space="preserve">Laba bruto (tercetak)</t>
  </si>
  <si>
    <t xml:space="preserve">kunci JSON: laba_bruto</t>
  </si>
  <si>
    <t xml:space="preserve">IS.OPER_PROFIT_PRINTED</t>
  </si>
  <si>
    <t xml:space="preserve">Laba (rugi) usaha (tercetak)</t>
  </si>
  <si>
    <t xml:space="preserve">kunci JSON: laba_usaha</t>
  </si>
  <si>
    <t xml:space="preserve">IS.PBT_PRINTED</t>
  </si>
  <si>
    <t xml:space="preserve">Laba sebelum pajak (tercetak)</t>
  </si>
  <si>
    <t xml:space="preserve">kunci JSON: laba_sebelum_pajak</t>
  </si>
  <si>
    <t xml:space="preserve">IS.NET_INCOME_PRINTED</t>
  </si>
  <si>
    <t xml:space="preserve">Laba tahun berjalan (tercetak)</t>
  </si>
  <si>
    <t xml:space="preserve">kunci JSON: laba_tahun_berjalan</t>
  </si>
  <si>
    <t xml:space="preserve">IS.OCI_TOTAL_PRINTED</t>
  </si>
  <si>
    <t xml:space="preserve">Jumlah OCI (tercetak)</t>
  </si>
  <si>
    <t xml:space="preserve">kunci JSON: oci_total</t>
  </si>
  <si>
    <t xml:space="preserve">IS.TCI_PRINTED</t>
  </si>
  <si>
    <t xml:space="preserve">Laba komprehensif (tercetak)</t>
  </si>
  <si>
    <t xml:space="preserve">kunci JSON: total_laba_komprehensif</t>
  </si>
  <si>
    <t xml:space="preserve">Laporan Posisi Keuangan - historis FY2020A-FY2025A</t>
  </si>
  <si>
    <t xml:space="preserve">BS.CASH</t>
  </si>
  <si>
    <t xml:space="preserve">kunci JSON: kas</t>
  </si>
  <si>
    <t xml:space="preserve">BS.ST_INVEST</t>
  </si>
  <si>
    <t xml:space="preserve">Investasi jangka pendek (deposito &gt; 3 bulan)</t>
  </si>
  <si>
    <t xml:space="preserve">kunci JSON: invest_jp</t>
  </si>
  <si>
    <t xml:space="preserve">BS.TRADE_REC</t>
  </si>
  <si>
    <t xml:space="preserve">Piutang usaha - neto</t>
  </si>
  <si>
    <t xml:space="preserve">kunci JSON: piutang_usaha_pk3</t>
  </si>
  <si>
    <t xml:space="preserve">BS.OTHER_REC</t>
  </si>
  <si>
    <t xml:space="preserve">Piutang lain-lain</t>
  </si>
  <si>
    <t xml:space="preserve">kunci JSON: piutang_lain_pk3</t>
  </si>
  <si>
    <t xml:space="preserve">BS.INVENTORY</t>
  </si>
  <si>
    <t xml:space="preserve">kunci JSON: persediaan</t>
  </si>
  <si>
    <t xml:space="preserve">BS.PREPAID_TAX</t>
  </si>
  <si>
    <t xml:space="preserve">Pajak dibayar dimuka</t>
  </si>
  <si>
    <t xml:space="preserve">kunci JSON: pajak_dimuka</t>
  </si>
  <si>
    <t xml:space="preserve">BS.PREPAID_ADV</t>
  </si>
  <si>
    <t xml:space="preserve">Biaya dibayar dimuka (2020: dalam aset lancar lainnya)</t>
  </si>
  <si>
    <t xml:space="preserve">kunci JSON: biaya_dimuka</t>
  </si>
  <si>
    <t xml:space="preserve">BS.RESTRICTED_CASH</t>
  </si>
  <si>
    <t xml:space="preserve">Kas yang dibatasi penggunaannya (2020: dalam aset lancar lainnya)</t>
  </si>
  <si>
    <t xml:space="preserve">kunci JSON: kas_dibatasi</t>
  </si>
  <si>
    <t xml:space="preserve">BS.OTHER_CA</t>
  </si>
  <si>
    <t xml:space="preserve">kunci JSON: aset_lancar_lain</t>
  </si>
  <si>
    <t xml:space="preserve">BS.TOTAL_CA</t>
  </si>
  <si>
    <t xml:space="preserve">BS.PPE</t>
  </si>
  <si>
    <t xml:space="preserve">kunci JSON: aset_tetap</t>
  </si>
  <si>
    <t xml:space="preserve">BS.INTANGIBLES</t>
  </si>
  <si>
    <t xml:space="preserve">kunci JSON: goodwill</t>
  </si>
  <si>
    <t xml:space="preserve">BS.DTA</t>
  </si>
  <si>
    <t xml:space="preserve">Aset pajak tangguhan</t>
  </si>
  <si>
    <t xml:space="preserve">kunci JSON: aset_pajak_tangguhan</t>
  </si>
  <si>
    <t xml:space="preserve">BS.OTHER_NCA</t>
  </si>
  <si>
    <t xml:space="preserve">Aset tidak lancar lainnya (terutama uang muka pembelian aset tetap/tanah)</t>
  </si>
  <si>
    <t xml:space="preserve">kunci JSON: aset_tl_lain</t>
  </si>
  <si>
    <t xml:space="preserve">BS.TOTAL_NCA</t>
  </si>
  <si>
    <t xml:space="preserve">BS.TOTAL_ASSETS</t>
  </si>
  <si>
    <t xml:space="preserve">BS.ST_BANK</t>
  </si>
  <si>
    <t xml:space="preserve">Pinjaman bank jangka pendek</t>
  </si>
  <si>
    <t xml:space="preserve">kunci JSON: pinjaman_bank_jp</t>
  </si>
  <si>
    <t xml:space="preserve">BS.TRADE_PAY</t>
  </si>
  <si>
    <t xml:space="preserve">kunci JSON: utang_usaha_pk3</t>
  </si>
  <si>
    <t xml:space="preserve">BS.OTHER_PAY</t>
  </si>
  <si>
    <t xml:space="preserve">Utang lain-lain</t>
  </si>
  <si>
    <t xml:space="preserve">kunci JSON: utang_lain_pk3</t>
  </si>
  <si>
    <t xml:space="preserve">BS.TAX_PAY</t>
  </si>
  <si>
    <t xml:space="preserve">Utang pajak</t>
  </si>
  <si>
    <t xml:space="preserve">kunci JSON: utang_pajak</t>
  </si>
  <si>
    <t xml:space="preserve">BS.ACCRUALS</t>
  </si>
  <si>
    <t xml:space="preserve">Beban akrual (2020: termasuk pendapatan diterima dimuka)</t>
  </si>
  <si>
    <t xml:space="preserve">kunci JSON: beban_akrual</t>
  </si>
  <si>
    <t xml:space="preserve">BS.UNEARNED_REV</t>
  </si>
  <si>
    <t xml:space="preserve">Pendapatan diterima dimuka</t>
  </si>
  <si>
    <t xml:space="preserve">kunci JSON: pendapatan_dimuka</t>
  </si>
  <si>
    <t xml:space="preserve">BS.EMPLOYEE_BENEFIT_CUR</t>
  </si>
  <si>
    <t xml:space="preserve">Liabilitas imbalan kerja - jangka pendek</t>
  </si>
  <si>
    <t xml:space="preserve">kunci JSON: imbalan_kerja_jt1</t>
  </si>
  <si>
    <t xml:space="preserve">BS.LT_BANK_CUR</t>
  </si>
  <si>
    <t xml:space="preserve">Utang bank jangka panjang - jatuh tempo 1 tahun</t>
  </si>
  <si>
    <t xml:space="preserve">kunci JSON: utang_bank_jt1</t>
  </si>
  <si>
    <t xml:space="preserve">BS.FINLOAN_CUR</t>
  </si>
  <si>
    <t xml:space="preserve">Pinjaman lembaga keuangan - jatuh tempo 1 tahun</t>
  </si>
  <si>
    <t xml:space="preserve">kunci JSON: pinjaman_lk_jt1</t>
  </si>
  <si>
    <t xml:space="preserve">BS.NOTES_CUR</t>
  </si>
  <si>
    <t xml:space="preserve">Wesel bayar / sukuk - jatuh tempo 1 tahun</t>
  </si>
  <si>
    <t xml:space="preserve">kunci JSON: utang_obligasi_jt1</t>
  </si>
  <si>
    <t xml:space="preserve">BS.TOTAL_CL</t>
  </si>
  <si>
    <t xml:space="preserve">Jumlah liabilitas jangka pendek</t>
  </si>
  <si>
    <t xml:space="preserve">BS.LT_BANK_NC</t>
  </si>
  <si>
    <t xml:space="preserve">Utang bank jangka panjang - setelah 1 tahun</t>
  </si>
  <si>
    <t xml:space="preserve">kunci JSON: utang_bank_jp</t>
  </si>
  <si>
    <t xml:space="preserve">BS.FINLOAN_NC</t>
  </si>
  <si>
    <t xml:space="preserve">Pinjaman lembaga keuangan - setelah 1 tahun</t>
  </si>
  <si>
    <t xml:space="preserve">kunci JSON: pinjaman_lk_jp</t>
  </si>
  <si>
    <t xml:space="preserve">BS.NOTES_NC</t>
  </si>
  <si>
    <t xml:space="preserve">Wesel bayar / sukuk - setelah 1 tahun</t>
  </si>
  <si>
    <t xml:space="preserve">kunci JSON: utang_obligasi_jp</t>
  </si>
  <si>
    <t xml:space="preserve">BS.EMPLOYEE_BENEFIT</t>
  </si>
  <si>
    <t xml:space="preserve">Liabilitas imbalan kerja</t>
  </si>
  <si>
    <t xml:space="preserve">kunci JSON: imbalan_kerja</t>
  </si>
  <si>
    <t xml:space="preserve">BS.DTL</t>
  </si>
  <si>
    <t xml:space="preserve">Liabilitas pajak tangguhan</t>
  </si>
  <si>
    <t xml:space="preserve">kunci JSON: liab_pajak_tangguhan</t>
  </si>
  <si>
    <t xml:space="preserve">BS.TOTAL_NCL</t>
  </si>
  <si>
    <t xml:space="preserve">Jumlah liabilitas jangka panjang</t>
  </si>
  <si>
    <t xml:space="preserve">BS.TOTAL_LIAB</t>
  </si>
  <si>
    <t xml:space="preserve">BS.SHARE_CAPITAL</t>
  </si>
  <si>
    <t xml:space="preserve">Modal saham</t>
  </si>
  <si>
    <t xml:space="preserve">kunci JSON: modal_saham</t>
  </si>
  <si>
    <t xml:space="preserve">BS.APIC</t>
  </si>
  <si>
    <t xml:space="preserve">Tambahan modal disetor</t>
  </si>
  <si>
    <t xml:space="preserve">kunci JSON: tambahan_modal</t>
  </si>
  <si>
    <t xml:space="preserve">BS.RETAINED_EARN</t>
  </si>
  <si>
    <t xml:space="preserve">Saldo laba (defisit)</t>
  </si>
  <si>
    <t xml:space="preserve">kunci JSON: saldo_laba</t>
  </si>
  <si>
    <t xml:space="preserve">BS.EQUITY_PARENT</t>
  </si>
  <si>
    <t xml:space="preserve">BS.NCI</t>
  </si>
  <si>
    <t xml:space="preserve">kunci JSON: nci</t>
  </si>
  <si>
    <t xml:space="preserve">BS.TOTAL_EQUITY</t>
  </si>
  <si>
    <t xml:space="preserve">BS.TOTAL_LIAB_EQUITY</t>
  </si>
  <si>
    <t xml:space="preserve">MEMO: SUBTOTAL TERCETAK DI LK</t>
  </si>
  <si>
    <t xml:space="preserve">BS.TOTAL_CA_PRINTED</t>
  </si>
  <si>
    <t xml:space="preserve">Jumlah aset lancar (tercetak)</t>
  </si>
  <si>
    <t xml:space="preserve">kunci JSON: TOTAL_ASET_LANCAR</t>
  </si>
  <si>
    <t xml:space="preserve">BS.TOTAL_NCA_PRINTED</t>
  </si>
  <si>
    <t xml:space="preserve">Jumlah aset tidak lancar (tercetak)</t>
  </si>
  <si>
    <t xml:space="preserve">kunci JSON: TOTAL_ASET_TIDAK_LANCAR</t>
  </si>
  <si>
    <t xml:space="preserve">BS.TOTAL_ASSETS_PRINTED</t>
  </si>
  <si>
    <t xml:space="preserve">Jumlah aset (tercetak)</t>
  </si>
  <si>
    <t xml:space="preserve">kunci JSON: TOTAL_ASET</t>
  </si>
  <si>
    <t xml:space="preserve">BS.TOTAL_CL_PRINTED</t>
  </si>
  <si>
    <t xml:space="preserve">Liabilitas jangka pendek (tercetak)</t>
  </si>
  <si>
    <t xml:space="preserve">kunci JSON: TOTAL_LIAB_PENDEK</t>
  </si>
  <si>
    <t xml:space="preserve">BS.TOTAL_NCL_PRINTED</t>
  </si>
  <si>
    <t xml:space="preserve">Liabilitas jangka panjang (tercetak)</t>
  </si>
  <si>
    <t xml:space="preserve">kunci JSON: TOTAL_LIAB_PANJANG</t>
  </si>
  <si>
    <t xml:space="preserve">BS.TOTAL_LIAB_PRINTED</t>
  </si>
  <si>
    <t xml:space="preserve">Jumlah liabilitas (tercetak)</t>
  </si>
  <si>
    <t xml:space="preserve">kunci JSON: TOTAL_LIABILITAS</t>
  </si>
  <si>
    <t xml:space="preserve">BS.EQUITY_PARENT_PRINTED</t>
  </si>
  <si>
    <t xml:space="preserve">Ekuitas induk (tercetak)</t>
  </si>
  <si>
    <t xml:space="preserve">kunci JSON: EKUITAS_INDUK</t>
  </si>
  <si>
    <t xml:space="preserve">BS.TOTAL_EQUITY_PRINTED</t>
  </si>
  <si>
    <t xml:space="preserve">Jumlah ekuitas (tercetak)</t>
  </si>
  <si>
    <t xml:space="preserve">kunci JSON: TOTAL_EKUITAS</t>
  </si>
  <si>
    <t xml:space="preserve">BS.TOTAL_LIAB_EQUITY_PRINTED</t>
  </si>
  <si>
    <t xml:space="preserve">Jumlah liabilitas &amp; ekuitas (tercetak)</t>
  </si>
  <si>
    <t xml:space="preserve">kunci JSON: TOTAL_LIAB_EKUITAS</t>
  </si>
  <si>
    <t xml:space="preserve">CEK</t>
  </si>
  <si>
    <t xml:space="preserve">BS.CHECK</t>
  </si>
  <si>
    <t xml:space="preserve">Aset - (liabilitas + ekuitas) = 0</t>
  </si>
  <si>
    <t xml:space="preserve">Laporan Arus Kas - historis FY2020A-FY2025A</t>
  </si>
  <si>
    <t xml:space="preserve">CF.CASH_FROM_CUSTOMERS</t>
  </si>
  <si>
    <t xml:space="preserve">Penerimaan kas dari pelanggan</t>
  </si>
  <si>
    <t xml:space="preserve">kunci JSON: terima_pelanggan</t>
  </si>
  <si>
    <t xml:space="preserve">CF.CASH_TO_SUPPLIERS</t>
  </si>
  <si>
    <t xml:space="preserve">Pembayaran kas kepada pemasok</t>
  </si>
  <si>
    <t xml:space="preserve">kunci JSON: bayar_pemasok</t>
  </si>
  <si>
    <t xml:space="preserve">CF.CASH_TO_EMPLOYEES</t>
  </si>
  <si>
    <t xml:space="preserve">Pembayaran kas kepada karyawan</t>
  </si>
  <si>
    <t xml:space="preserve">kunci JSON: bayar_karyawan</t>
  </si>
  <si>
    <t xml:space="preserve">CF.CASH_OTHER_OPEX</t>
  </si>
  <si>
    <t xml:space="preserve">Pembayaran beban operasional lainnya</t>
  </si>
  <si>
    <t xml:space="preserve">kunci JSON: bayar_opex_lain</t>
  </si>
  <si>
    <t xml:space="preserve">CF.CASH_GEN</t>
  </si>
  <si>
    <t xml:space="preserve">Kas yang dihasilkan dari operasi</t>
  </si>
  <si>
    <t xml:space="preserve">CF.FIN_INCOME_RECEIVED</t>
  </si>
  <si>
    <t xml:space="preserve">Penerimaan penghasilan keuangan</t>
  </si>
  <si>
    <t xml:space="preserve">kunci JSON: terima_penghasilan_keu</t>
  </si>
  <si>
    <t xml:space="preserve">CF.FIN_COST_PAID</t>
  </si>
  <si>
    <t xml:space="preserve">Pembayaran beban keuangan</t>
  </si>
  <si>
    <t xml:space="preserve">kunci JSON: bayar_beban_keu</t>
  </si>
  <si>
    <t xml:space="preserve">CF.TAX_PAID</t>
  </si>
  <si>
    <t xml:space="preserve">Pembayaran pajak penghasilan</t>
  </si>
  <si>
    <t xml:space="preserve">kunci JSON: bayar_pajak</t>
  </si>
  <si>
    <t xml:space="preserve">CF.CFO</t>
  </si>
  <si>
    <t xml:space="preserve">Kas neto dari aktivitas operasi</t>
  </si>
  <si>
    <t xml:space="preserve">CF.SUBS_DIVEST</t>
  </si>
  <si>
    <t xml:space="preserve">Hasil divestasi entitas anak</t>
  </si>
  <si>
    <t xml:space="preserve">kunci JSON: divestasi_anak</t>
  </si>
  <si>
    <t xml:space="preserve">CF.SUBS_ACQ</t>
  </si>
  <si>
    <t xml:space="preserve">Akuisisi entitas anak</t>
  </si>
  <si>
    <t xml:space="preserve">kunci JSON: akuisisi_anak</t>
  </si>
  <si>
    <t xml:space="preserve">CF.PPE_DISPOSAL_PROCEEDS</t>
  </si>
  <si>
    <t xml:space="preserve">Hasil penjualan aset tetap</t>
  </si>
  <si>
    <t xml:space="preserve">kunci JSON: jual_aset_tetap</t>
  </si>
  <si>
    <t xml:space="preserve">CF.ST_INVEST_DRAW</t>
  </si>
  <si>
    <t xml:space="preserve">Pencairan investasi jangka pendek</t>
  </si>
  <si>
    <t xml:space="preserve">kunci JSON: investasi_jp_draw</t>
  </si>
  <si>
    <t xml:space="preserve">CF.ST_INVEST_PLACE</t>
  </si>
  <si>
    <t xml:space="preserve">Penempatan investasi jangka pendek</t>
  </si>
  <si>
    <t xml:space="preserve">kunci JSON: investasi_jp_place</t>
  </si>
  <si>
    <t xml:space="preserve">CF.PPE_ADVANCES</t>
  </si>
  <si>
    <t xml:space="preserve">Uang muka pembelian aset tetap</t>
  </si>
  <si>
    <t xml:space="preserve">kunci JSON: uang_muka_aset_tetap</t>
  </si>
  <si>
    <t xml:space="preserve">CF.CAPEX_PPE</t>
  </si>
  <si>
    <t xml:space="preserve">Perolehan aset tetap</t>
  </si>
  <si>
    <t xml:space="preserve">kunci JSON: perolehan_aset_tetap</t>
  </si>
  <si>
    <t xml:space="preserve">CF.CFI</t>
  </si>
  <si>
    <t xml:space="preserve">Kas neto untuk aktivitas investasi</t>
  </si>
  <si>
    <t xml:space="preserve">CF.ST_BANK_DRAW</t>
  </si>
  <si>
    <t xml:space="preserve">Penerimaan pinjaman bank jangka pendek</t>
  </si>
  <si>
    <t xml:space="preserve">kunci JSON: pinjaman_bank_pendek_draw</t>
  </si>
  <si>
    <t xml:space="preserve">CF.ST_BANK_REPAY</t>
  </si>
  <si>
    <t xml:space="preserve">Pembayaran pinjaman bank jangka pendek</t>
  </si>
  <si>
    <t xml:space="preserve">kunci JSON: pinjaman_bank_pendek_repay</t>
  </si>
  <si>
    <t xml:space="preserve">CF.LT_BANK_DRAW</t>
  </si>
  <si>
    <t xml:space="preserve">Penerimaan utang bank jangka panjang</t>
  </si>
  <si>
    <t xml:space="preserve">kunci JSON: pinjaman_bank_panjang_draw</t>
  </si>
  <si>
    <t xml:space="preserve">CF.LT_BANK_REPAY</t>
  </si>
  <si>
    <t xml:space="preserve">Pembayaran utang bank jangka panjang</t>
  </si>
  <si>
    <t xml:space="preserve">kunci JSON: pinjaman_bank_panjang_repay</t>
  </si>
  <si>
    <t xml:space="preserve">CF.FINLOAN_DRAW</t>
  </si>
  <si>
    <t xml:space="preserve">Penerimaan pinjaman lembaga keuangan</t>
  </si>
  <si>
    <t xml:space="preserve">kunci JSON: pinjaman_lk_draw</t>
  </si>
  <si>
    <t xml:space="preserve">CF.FINLOAN_REPAY</t>
  </si>
  <si>
    <t xml:space="preserve">Pembayaran pinjaman lembaga keuangan</t>
  </si>
  <si>
    <t xml:space="preserve">kunci JSON: pinjaman_lk_repay</t>
  </si>
  <si>
    <t xml:space="preserve">CF.SUKUK_ISSUE</t>
  </si>
  <si>
    <t xml:space="preserve">Penerimaan sukuk</t>
  </si>
  <si>
    <t xml:space="preserve">kunci JSON: terima_sukuk</t>
  </si>
  <si>
    <t xml:space="preserve">CF.NOTES_REPAY</t>
  </si>
  <si>
    <t xml:space="preserve">Pembayaran wesel bayar</t>
  </si>
  <si>
    <t xml:space="preserve">kunci JSON: bayar_wesel</t>
  </si>
  <si>
    <t xml:space="preserve">CF.LOAN_COSTS</t>
  </si>
  <si>
    <t xml:space="preserve">Biaya transaksi pinjaman</t>
  </si>
  <si>
    <t xml:space="preserve">kunci JSON: biaya_transaksi_pinjaman</t>
  </si>
  <si>
    <t xml:space="preserve">CF.RESTRICTED_NET</t>
  </si>
  <si>
    <t xml:space="preserve">Kas yang dibatasi penggunaannya - neto</t>
  </si>
  <si>
    <t xml:space="preserve">kunci JSON: kas_dibatasi_neto</t>
  </si>
  <si>
    <t xml:space="preserve">CF.RP_PAID</t>
  </si>
  <si>
    <t xml:space="preserve">Pembayaran kepada pihak berelasi</t>
  </si>
  <si>
    <t xml:space="preserve">kunci JSON: bayar_pihak_berelasi</t>
  </si>
  <si>
    <t xml:space="preserve">CF.IPO_PROCEEDS</t>
  </si>
  <si>
    <t xml:space="preserve">Penerimaan dari penawaran umum saham</t>
  </si>
  <si>
    <t xml:space="preserve">kunci JSON: terima_ipo</t>
  </si>
  <si>
    <t xml:space="preserve">CF.IPO_COSTS</t>
  </si>
  <si>
    <t xml:space="preserve">Biaya emisi saham</t>
  </si>
  <si>
    <t xml:space="preserve">kunci JSON: biaya_emisi</t>
  </si>
  <si>
    <t xml:space="preserve">CF.DIVIDENDS_PAID</t>
  </si>
  <si>
    <t xml:space="preserve">Pembayaran dividen tunai (tidak ada FY2020-FY2025)</t>
  </si>
  <si>
    <t xml:space="preserve">kunci JSON: -</t>
  </si>
  <si>
    <t xml:space="preserve">CF.CFF</t>
  </si>
  <si>
    <t xml:space="preserve">Kas neto untuk aktivitas pendanaan</t>
  </si>
  <si>
    <t xml:space="preserve">CF.NET_CHANGE</t>
  </si>
  <si>
    <t xml:space="preserve">CF.CASH_BEGIN</t>
  </si>
  <si>
    <t xml:space="preserve">kunci JSON: KAS_AWAL</t>
  </si>
  <si>
    <t xml:space="preserve">CF.SUBS_CASH</t>
  </si>
  <si>
    <t xml:space="preserve">Kas entitas anak yang diakuisisi / (dilepas)</t>
  </si>
  <si>
    <t xml:space="preserve">kunci JSON: kas_anak_akuisisi</t>
  </si>
  <si>
    <t xml:space="preserve">CF.CASH_END</t>
  </si>
  <si>
    <t xml:space="preserve">CF.CASH_GEN_PRINTED</t>
  </si>
  <si>
    <t xml:space="preserve">Kas yang dihasilkan dari operasi (tercetak)</t>
  </si>
  <si>
    <t xml:space="preserve">kunci JSON: KAS_DARI_OPERASI</t>
  </si>
  <si>
    <t xml:space="preserve">CF.CFO_PRINTED</t>
  </si>
  <si>
    <t xml:space="preserve">Kas neto operasi (tercetak)</t>
  </si>
  <si>
    <t xml:space="preserve">kunci JSON: NET_OPERASI</t>
  </si>
  <si>
    <t xml:space="preserve">CF.CFI_PRINTED</t>
  </si>
  <si>
    <t xml:space="preserve">Kas neto investasi (tercetak)</t>
  </si>
  <si>
    <t xml:space="preserve">kunci JSON: NET_INVESTASI</t>
  </si>
  <si>
    <t xml:space="preserve">CF.CFF_PRINTED</t>
  </si>
  <si>
    <t xml:space="preserve">Kas neto pendanaan (tercetak)</t>
  </si>
  <si>
    <t xml:space="preserve">kunci JSON: NET_PENDANAAN</t>
  </si>
  <si>
    <t xml:space="preserve">CF.NET_CHANGE_PRINTED</t>
  </si>
  <si>
    <t xml:space="preserve">Kenaikan neto kas (tercetak)</t>
  </si>
  <si>
    <t xml:space="preserve">kunci JSON: KENAIKAN_NETO</t>
  </si>
  <si>
    <t xml:space="preserve">CF.CASH_END_PRINTED</t>
  </si>
  <si>
    <t xml:space="preserve">Kas akhir (tercetak)</t>
  </si>
  <si>
    <t xml:space="preserve">kunci JSON: KAS_AKHIR</t>
  </si>
  <si>
    <t xml:space="preserve">Schedules CALK FY2020A-FY2025A</t>
  </si>
  <si>
    <t xml:space="preserve">Rincian catatan atas LK (tahapD per tahun, Rp penuh). Bagian A = ringkasan yang dipakai Rasio/Asumsi; bagian B-C = rincian lengkap. Kosong = tidak diungkap tahun itu; kolom FY2020 kosong (CALK 2020 tidak dimuat; Temuan C2). Kolom FY2021 dari komparatif CALK LK FY2022. Tiap tahun memakai CALK LK tahun itu sendiri; komparatif yang disajikan kembali dibuang (Temuan C4).</t>
  </si>
  <si>
    <t xml:space="preserve">A. RINGKASAN UNTUK MODEL (rumus dari bagian B-C)</t>
  </si>
  <si>
    <t xml:space="preserve">REV.INPAT</t>
  </si>
  <si>
    <t xml:space="preserve">Pendapatan - rawat inap (Σ rincian)</t>
  </si>
  <si>
    <t xml:space="preserve">Cat 20</t>
  </si>
  <si>
    <t xml:space="preserve">REV.OUTPAT</t>
  </si>
  <si>
    <t xml:space="preserve">Pendapatan - rawat jalan (Σ rincian)</t>
  </si>
  <si>
    <t xml:space="preserve">REV.OTHER</t>
  </si>
  <si>
    <t xml:space="preserve">Pendapatan lainnya (pendapatan investasi, 2025)</t>
  </si>
  <si>
    <t xml:space="preserve">Cat 20; Temuan C5</t>
  </si>
  <si>
    <t xml:space="preserve">REV.DISC</t>
  </si>
  <si>
    <t xml:space="preserve">Diskon / selisih tarif (pengurang, 2021-2022)</t>
  </si>
  <si>
    <t xml:space="preserve">Cat 20; Temuan C4</t>
  </si>
  <si>
    <t xml:space="preserve">REV.NET</t>
  </si>
  <si>
    <t xml:space="preserve">Pendapatan neto (rumus)</t>
  </si>
  <si>
    <t xml:space="preserve">REV.OUT_SH</t>
  </si>
  <si>
    <t xml:space="preserve">Porsi rawat jalan % pendapatan rumah sakit (inap + jalan)</t>
  </si>
  <si>
    <t xml:space="preserve">DA.DEP_IN_COGS</t>
  </si>
  <si>
    <t xml:space="preserve">Penyusutan aset tetap di beban pokok (Cat 21)</t>
  </si>
  <si>
    <t xml:space="preserve">Cat 21</t>
  </si>
  <si>
    <t xml:space="preserve">DA.IN_OPEX</t>
  </si>
  <si>
    <t xml:space="preserve">Penyusutan di beban usaha (tidak diungkap terpisah; 0)</t>
  </si>
  <si>
    <t xml:space="preserve">Cat 22</t>
  </si>
  <si>
    <t xml:space="preserve">DA.PPE</t>
  </si>
  <si>
    <t xml:space="preserve">Penyusutan aset tetap (Cat 21)</t>
  </si>
  <si>
    <t xml:space="preserve">DA.MUT</t>
  </si>
  <si>
    <t xml:space="preserve">Penyusutan menurut mutasi Cat 9 (akumulasi: penambahan)</t>
  </si>
  <si>
    <t xml:space="preserve">DA.ROU</t>
  </si>
  <si>
    <t xml:space="preserve">Penyusutan aset hak guna (tidak ada)</t>
  </si>
  <si>
    <t xml:space="preserve">DA.SOFTWARE</t>
  </si>
  <si>
    <t xml:space="preserve">Amortisasi aset takberwujud (tidak ada; goodwill tidak diamortisasi)</t>
  </si>
  <si>
    <t xml:space="preserve">DA.TOTAL</t>
  </si>
  <si>
    <t xml:space="preserve">Total D&amp;A (untuk EBITDA)</t>
  </si>
  <si>
    <t xml:space="preserve">PPE.ADDITIONS</t>
  </si>
  <si>
    <t xml:space="preserve">Penambahan aset tetap (biaya perolehan, kas + nonkas)</t>
  </si>
  <si>
    <t xml:space="preserve">EPS.WSH</t>
  </si>
  <si>
    <t xml:space="preserve">Rata-rata tertimbang saham beredar - dasar (lembar)</t>
  </si>
  <si>
    <t xml:space="preserve">Cat laba per saham</t>
  </si>
  <si>
    <t xml:space="preserve">B. MUTASI ASET TETAP (Cat 9, baris JUMLAH tabel mutasi)</t>
  </si>
  <si>
    <t xml:space="preserve">Cat 9 Aset tetap - biaya perolehan (JUMLAH)</t>
  </si>
  <si>
    <t xml:space="preserve">MUT.COST_T.saldo_awal</t>
  </si>
  <si>
    <t xml:space="preserve">   Saldo awal</t>
  </si>
  <si>
    <t xml:space="preserve">mutasi_aset (biaya perolehan)</t>
  </si>
  <si>
    <t xml:space="preserve">MUT.COST_T.akuisisi</t>
  </si>
  <si>
    <t xml:space="preserve">   Akuisisi entitas anak</t>
  </si>
  <si>
    <t xml:space="preserve">MUT.COST_T.penambahan</t>
  </si>
  <si>
    <t xml:space="preserve">   Penambahan</t>
  </si>
  <si>
    <t xml:space="preserve">MUT.COST_T.pengurangan</t>
  </si>
  <si>
    <t xml:space="preserve">   Pengurangan (tercatat negatif)</t>
  </si>
  <si>
    <t xml:space="preserve">MUT.COST_T.reklasifikasi</t>
  </si>
  <si>
    <t xml:space="preserve">   Reklasifikasi</t>
  </si>
  <si>
    <t xml:space="preserve">MUT.COST_T.saldo_akhir</t>
  </si>
  <si>
    <t xml:space="preserve">   Saldo akhir (tercetak)</t>
  </si>
  <si>
    <t xml:space="preserve">MUT.COST_T.END</t>
  </si>
  <si>
    <t xml:space="preserve">   Saldo akhir (rumus: awal + akuisisi + penambahan + pengurangan + reklas)</t>
  </si>
  <si>
    <t xml:space="preserve">Cat 9 Aset tetap - akumulasi penyusutan (JUMLAH)</t>
  </si>
  <si>
    <t xml:space="preserve">MUT.AD_T.saldo_awal</t>
  </si>
  <si>
    <t xml:space="preserve">mutasi_aset (akumulasi penyusutan)</t>
  </si>
  <si>
    <t xml:space="preserve">MUT.AD_T.akuisisi</t>
  </si>
  <si>
    <t xml:space="preserve">MUT.AD_T.penambahan</t>
  </si>
  <si>
    <t xml:space="preserve">MUT.AD_T.pengurangan</t>
  </si>
  <si>
    <t xml:space="preserve">MUT.AD_T.reklasifikasi</t>
  </si>
  <si>
    <t xml:space="preserve">MUT.AD_T.saldo_akhir</t>
  </si>
  <si>
    <t xml:space="preserve">MUT.AD_T.END</t>
  </si>
  <si>
    <t xml:space="preserve">PPE.NBV</t>
  </si>
  <si>
    <t xml:space="preserve">Nilai tercatat aset tetap (biaya - akumulasi)</t>
  </si>
  <si>
    <t xml:space="preserve">C. RINCIAN CATATAN (urut catatan LK)</t>
  </si>
  <si>
    <t xml:space="preserve">Cat 20 - Rawat inap</t>
  </si>
  <si>
    <t xml:space="preserve">CK001</t>
  </si>
  <si>
    <t xml:space="preserve">   Kamar rawat inap</t>
  </si>
  <si>
    <t xml:space="preserve">hal PDF 65,67,76</t>
  </si>
  <si>
    <t xml:space="preserve">CK002</t>
  </si>
  <si>
    <t xml:space="preserve">   Jasa medis</t>
  </si>
  <si>
    <t xml:space="preserve">CK003</t>
  </si>
  <si>
    <t xml:space="preserve">   Obat dan perlengkapan medis</t>
  </si>
  <si>
    <t xml:space="preserve">CK004</t>
  </si>
  <si>
    <t xml:space="preserve">   Jasa penunjang medis</t>
  </si>
  <si>
    <t xml:space="preserve">CK005</t>
  </si>
  <si>
    <t xml:space="preserve">   Pendapatan administrasi dan lainnya</t>
  </si>
  <si>
    <t xml:space="preserve">Cat 20 - Rawat jalan</t>
  </si>
  <si>
    <t xml:space="preserve">CK006</t>
  </si>
  <si>
    <t xml:space="preserve">CK007</t>
  </si>
  <si>
    <t xml:space="preserve">CK008</t>
  </si>
  <si>
    <t xml:space="preserve">CK009</t>
  </si>
  <si>
    <t xml:space="preserve">   Jasa instalasi gawat darurat</t>
  </si>
  <si>
    <t xml:space="preserve">CK010</t>
  </si>
  <si>
    <t xml:space="preserve">Cat 20 - Lainnya</t>
  </si>
  <si>
    <t xml:space="preserve">CK011</t>
  </si>
  <si>
    <t xml:space="preserve">   Pendapatan investasi</t>
  </si>
  <si>
    <t xml:space="preserve">hal PDF 76</t>
  </si>
  <si>
    <t xml:space="preserve">Cat 20 - Jumlah</t>
  </si>
  <si>
    <t xml:space="preserve">CK012</t>
  </si>
  <si>
    <t xml:space="preserve">   JUMLAH (lapor)</t>
  </si>
  <si>
    <t xml:space="preserve">CK013</t>
  </si>
  <si>
    <t xml:space="preserve">   Total bruto</t>
  </si>
  <si>
    <t xml:space="preserve">CK014</t>
  </si>
  <si>
    <t xml:space="preserve">   Diskon</t>
  </si>
  <si>
    <t xml:space="preserve">SK001</t>
  </si>
  <si>
    <t xml:space="preserve">   Σ rincian (rumus)</t>
  </si>
  <si>
    <t xml:space="preserve">Cat 21 - Jumlah</t>
  </si>
  <si>
    <t xml:space="preserve">CK015</t>
  </si>
  <si>
    <t xml:space="preserve">   Jasa tenaga ahli medis</t>
  </si>
  <si>
    <t xml:space="preserve">CK016</t>
  </si>
  <si>
    <t xml:space="preserve">   Biaya selisih tarif klaim</t>
  </si>
  <si>
    <t xml:space="preserve">CK017</t>
  </si>
  <si>
    <t xml:space="preserve">CK018</t>
  </si>
  <si>
    <t xml:space="preserve">   Penyusutan</t>
  </si>
  <si>
    <t xml:space="preserve">CK019</t>
  </si>
  <si>
    <t xml:space="preserve">   Makanan dan minuman</t>
  </si>
  <si>
    <t xml:space="preserve">CK020</t>
  </si>
  <si>
    <t xml:space="preserve">CK021</t>
  </si>
  <si>
    <t xml:space="preserve">   Rujukan</t>
  </si>
  <si>
    <t xml:space="preserve">CK022</t>
  </si>
  <si>
    <t xml:space="preserve">   Gaji dan tunjangan karyawan</t>
  </si>
  <si>
    <t xml:space="preserve">CK023</t>
  </si>
  <si>
    <t xml:space="preserve">   Lain-lain (masing-masing di bawah Rp 200.000.000)</t>
  </si>
  <si>
    <t xml:space="preserve">CK024</t>
  </si>
  <si>
    <t xml:space="preserve">CK025</t>
  </si>
  <si>
    <t xml:space="preserve">   Jasa tenaga ahli, gaji dan tunjangan</t>
  </si>
  <si>
    <t xml:space="preserve">CK026</t>
  </si>
  <si>
    <t xml:space="preserve">   Perbaikan dan pemeliharaan</t>
  </si>
  <si>
    <t xml:space="preserve">CK027</t>
  </si>
  <si>
    <t xml:space="preserve">   Lain-lain (masing-masing dibawah Rp 200.000.000)</t>
  </si>
  <si>
    <t xml:space="preserve">SK002</t>
  </si>
  <si>
    <t xml:space="preserve">Cat 22 - Jumlah</t>
  </si>
  <si>
    <t xml:space="preserve">CK028</t>
  </si>
  <si>
    <t xml:space="preserve">   Gaji dan tunjangan</t>
  </si>
  <si>
    <t xml:space="preserve">hal PDF 66,68,77</t>
  </si>
  <si>
    <t xml:space="preserve">CK029</t>
  </si>
  <si>
    <t xml:space="preserve">   Honorarium tenaga ahli</t>
  </si>
  <si>
    <t xml:space="preserve">CK030</t>
  </si>
  <si>
    <t xml:space="preserve">   Pajak dan perijinan</t>
  </si>
  <si>
    <t xml:space="preserve">CK031</t>
  </si>
  <si>
    <t xml:space="preserve">   Listrik dan air</t>
  </si>
  <si>
    <t xml:space="preserve">CK032</t>
  </si>
  <si>
    <t xml:space="preserve">   Peralatan kantor</t>
  </si>
  <si>
    <t xml:space="preserve">CK033</t>
  </si>
  <si>
    <t xml:space="preserve">   Jasa kebersihan</t>
  </si>
  <si>
    <t xml:space="preserve">hal PDF 66,77</t>
  </si>
  <si>
    <t xml:space="preserve">CK034</t>
  </si>
  <si>
    <t xml:space="preserve">   Keamanan</t>
  </si>
  <si>
    <t xml:space="preserve">CK035</t>
  </si>
  <si>
    <t xml:space="preserve">   Sewa</t>
  </si>
  <si>
    <t xml:space="preserve">CK036</t>
  </si>
  <si>
    <t xml:space="preserve">CK037</t>
  </si>
  <si>
    <t xml:space="preserve">   Imbalan pascakerja</t>
  </si>
  <si>
    <t xml:space="preserve">CK038</t>
  </si>
  <si>
    <t xml:space="preserve">   Transportasi</t>
  </si>
  <si>
    <t xml:space="preserve">CK039</t>
  </si>
  <si>
    <t xml:space="preserve">   Lingkungan</t>
  </si>
  <si>
    <t xml:space="preserve">CK040</t>
  </si>
  <si>
    <t xml:space="preserve">   Pelatihan</t>
  </si>
  <si>
    <t xml:space="preserve">CK041</t>
  </si>
  <si>
    <t xml:space="preserve">   Iklan dan promosi</t>
  </si>
  <si>
    <t xml:space="preserve">CK042</t>
  </si>
  <si>
    <t xml:space="preserve">   Asuransi</t>
  </si>
  <si>
    <t xml:space="preserve">CK043</t>
  </si>
  <si>
    <t xml:space="preserve">   Kerugian penurunan nilai piutang usaha</t>
  </si>
  <si>
    <t xml:space="preserve">CK044</t>
  </si>
  <si>
    <t xml:space="preserve">CK045</t>
  </si>
  <si>
    <t xml:space="preserve">CK046</t>
  </si>
  <si>
    <t xml:space="preserve">   Komunikasi</t>
  </si>
  <si>
    <t xml:space="preserve">CK047</t>
  </si>
  <si>
    <t xml:space="preserve">   Cleaning services</t>
  </si>
  <si>
    <t xml:space="preserve">hal PDF 68,77</t>
  </si>
  <si>
    <t xml:space="preserve">CK048</t>
  </si>
  <si>
    <t xml:space="preserve">   Cadangan kerugian piutang</t>
  </si>
  <si>
    <t xml:space="preserve">hal PDF 77</t>
  </si>
  <si>
    <t xml:space="preserve">SK003</t>
  </si>
  <si>
    <t xml:space="preserve">Cat 23 - Jumlah</t>
  </si>
  <si>
    <t xml:space="preserve">CK049</t>
  </si>
  <si>
    <t xml:space="preserve">   Bunga bank</t>
  </si>
  <si>
    <t xml:space="preserve">CK050</t>
  </si>
  <si>
    <t xml:space="preserve">   Bunga promissory note</t>
  </si>
  <si>
    <t xml:space="preserve">CK051</t>
  </si>
  <si>
    <t xml:space="preserve">   Bunga deposito berjangka</t>
  </si>
  <si>
    <t xml:space="preserve">CK052</t>
  </si>
  <si>
    <t xml:space="preserve">CK053</t>
  </si>
  <si>
    <t xml:space="preserve">   Bunga surat sanggup bayar</t>
  </si>
  <si>
    <t xml:space="preserve">SK004</t>
  </si>
  <si>
    <t xml:space="preserve">Cat 24 - Jumlah</t>
  </si>
  <si>
    <t xml:space="preserve">CK054</t>
  </si>
  <si>
    <t xml:space="preserve">   Bunga pinjaman bank</t>
  </si>
  <si>
    <t xml:space="preserve">CK055</t>
  </si>
  <si>
    <t xml:space="preserve">   Bunga sukuk wakalah</t>
  </si>
  <si>
    <t xml:space="preserve">CK056</t>
  </si>
  <si>
    <t xml:space="preserve">   Bunga wesel bayar</t>
  </si>
  <si>
    <t xml:space="preserve">CK057</t>
  </si>
  <si>
    <t xml:space="preserve">   Administrasi bank</t>
  </si>
  <si>
    <t xml:space="preserve">CK058</t>
  </si>
  <si>
    <t xml:space="preserve">   Denda pelunasan dipercepat</t>
  </si>
  <si>
    <t xml:space="preserve">CK059</t>
  </si>
  <si>
    <t xml:space="preserve">SK005</t>
  </si>
  <si>
    <t xml:space="preserve">Cat 25 - Jumlah</t>
  </si>
  <si>
    <t xml:space="preserve">CK060</t>
  </si>
  <si>
    <t xml:space="preserve">   Pendapatan sewa</t>
  </si>
  <si>
    <t xml:space="preserve">CK061</t>
  </si>
  <si>
    <t xml:space="preserve">   Keuntungan dari divestasi Entitas Anak - neto</t>
  </si>
  <si>
    <t xml:space="preserve">CK062</t>
  </si>
  <si>
    <t xml:space="preserve">   Lain-lain - neto</t>
  </si>
  <si>
    <t xml:space="preserve">CK063</t>
  </si>
  <si>
    <t xml:space="preserve">CK064</t>
  </si>
  <si>
    <t xml:space="preserve">   Keuntungan dari divestasi entitas anak - neto</t>
  </si>
  <si>
    <t xml:space="preserve">hal PDF 66,68</t>
  </si>
  <si>
    <t xml:space="preserve">CK065</t>
  </si>
  <si>
    <t xml:space="preserve">   Laba atas penjualan aset tetap</t>
  </si>
  <si>
    <t xml:space="preserve">CK066</t>
  </si>
  <si>
    <t xml:space="preserve">   Lain-lain</t>
  </si>
  <si>
    <t xml:space="preserve">CK067</t>
  </si>
  <si>
    <t xml:space="preserve">   Keuntungan dari divestasi entitas anak</t>
  </si>
  <si>
    <t xml:space="preserve">CK068</t>
  </si>
  <si>
    <t xml:space="preserve">   Keuntungan dari penjualan aset tetap</t>
  </si>
  <si>
    <t xml:space="preserve">CK069</t>
  </si>
  <si>
    <t xml:space="preserve">   Keuntungan dari akuisisi entitas anak</t>
  </si>
  <si>
    <t xml:space="preserve">SK006</t>
  </si>
  <si>
    <t xml:space="preserve">Cat EPS - Laba per saham</t>
  </si>
  <si>
    <t xml:space="preserve">CK070</t>
  </si>
  <si>
    <t xml:space="preserve">   Laba induk</t>
  </si>
  <si>
    <t xml:space="preserve">hal PDF 67,69,78</t>
  </si>
  <si>
    <t xml:space="preserve">CK071</t>
  </si>
  <si>
    <t xml:space="preserve">   Rata-rata tertimbang saham beredar (dasar)</t>
  </si>
  <si>
    <t xml:space="preserve">CK072</t>
  </si>
  <si>
    <t xml:space="preserve">   EPS dasar (Rp)</t>
  </si>
  <si>
    <t xml:space="preserve">Rasio keuangan FY2020A-FY2025A</t>
  </si>
  <si>
    <t xml:space="preserve">Rumus dari IS/BS/CF/Schedules. Rata-rata saldo &amp; pertumbuhan mulai 2021; rasio berbasis CALK (EBITDA, D&amp;A) kosong untuk 2020. Kolom rata-rata = FY2022-FY2025.</t>
  </si>
  <si>
    <t xml:space="preserve">Rata-rata FY2022-25</t>
  </si>
  <si>
    <t xml:space="preserve">Definisi / catatan</t>
  </si>
  <si>
    <t xml:space="preserve">PERTUMBUHAN (yoy)</t>
  </si>
  <si>
    <t xml:space="preserve">R.G_REV</t>
  </si>
  <si>
    <t xml:space="preserve">R.G_INPAT</t>
  </si>
  <si>
    <t xml:space="preserve">R.G_OUTPAT</t>
  </si>
  <si>
    <t xml:space="preserve">R.G_EBITDA</t>
  </si>
  <si>
    <t xml:space="preserve">R.G_NI</t>
  </si>
  <si>
    <t xml:space="preserve">R.G_NIP</t>
  </si>
  <si>
    <t xml:space="preserve">PROFITABILITAS</t>
  </si>
  <si>
    <t xml:space="preserve">R.GM</t>
  </si>
  <si>
    <t xml:space="preserve">Margin laba bruto</t>
  </si>
  <si>
    <t xml:space="preserve">R.OPM</t>
  </si>
  <si>
    <t xml:space="preserve">Margin laba usaha</t>
  </si>
  <si>
    <t xml:space="preserve">R.EBITDA</t>
  </si>
  <si>
    <t xml:space="preserve">EBITDA (Rp)</t>
  </si>
  <si>
    <t xml:space="preserve">laba (rugi) usaha + penyusutan aset tetap (Cat 21); tanpa pendapatan lain-lain</t>
  </si>
  <si>
    <t xml:space="preserve">R.EBITDA_M</t>
  </si>
  <si>
    <t xml:space="preserve">R.NM</t>
  </si>
  <si>
    <t xml:space="preserve">R.NMP</t>
  </si>
  <si>
    <t xml:space="preserve">Margin laba induk</t>
  </si>
  <si>
    <t xml:space="preserve">R.ROE</t>
  </si>
  <si>
    <t xml:space="preserve">ROE (laba induk / rata-rata ekuitas induk)</t>
  </si>
  <si>
    <t xml:space="preserve">R.ROA</t>
  </si>
  <si>
    <t xml:space="preserve">ROA (laba / rata-rata aset)</t>
  </si>
  <si>
    <t xml:space="preserve">R.ETR</t>
  </si>
  <si>
    <t xml:space="preserve">R.NCI_SH</t>
  </si>
  <si>
    <t xml:space="preserve">Porsi laba ke NCI</t>
  </si>
  <si>
    <t xml:space="preserve">R.OTH</t>
  </si>
  <si>
    <t xml:space="preserve">Pendapatan (beban) lain neto % pendapatan</t>
  </si>
  <si>
    <t xml:space="preserve">Cat 25 (di bawah laba usaha)</t>
  </si>
  <si>
    <t xml:space="preserve">PENDAPATAN</t>
  </si>
  <si>
    <t xml:space="preserve">R.SH_OUTPAT</t>
  </si>
  <si>
    <t xml:space="preserve">Porsi rawat jalan (% pendapatan RS)</t>
  </si>
  <si>
    <t xml:space="preserve">MODAL KERJA (hari, saldo akhir)</t>
  </si>
  <si>
    <t xml:space="preserve">R.DSO</t>
  </si>
  <si>
    <t xml:space="preserve">DSO piutang usaha (hari)</t>
  </si>
  <si>
    <t xml:space="preserve">R.DIO</t>
  </si>
  <si>
    <t xml:space="preserve">DIO persediaan (hari, atas beban pokok)</t>
  </si>
  <si>
    <t xml:space="preserve">R.DPO</t>
  </si>
  <si>
    <t xml:space="preserve">DPO utang usaha (hari, atas beban pokok)</t>
  </si>
  <si>
    <t xml:space="preserve">LIKUIDITAS &amp; SOLVABILITAS</t>
  </si>
  <si>
    <t xml:space="preserve">R.CR</t>
  </si>
  <si>
    <t xml:space="preserve">Current ratio</t>
  </si>
  <si>
    <t xml:space="preserve">R.DEBT</t>
  </si>
  <si>
    <t xml:space="preserve">Utang berbunga: bank + lembaga keuangan + wesel/sukuk (Rp)</t>
  </si>
  <si>
    <t xml:space="preserve">Temuan C6</t>
  </si>
  <si>
    <t xml:space="preserve">R.CASHINV</t>
  </si>
  <si>
    <t xml:space="preserve">Kas + investasi jk pendek (Rp)</t>
  </si>
  <si>
    <t xml:space="preserve">R.ND</t>
  </si>
  <si>
    <t xml:space="preserve">Utang neto (utang berbunga - kas) (Rp)</t>
  </si>
  <si>
    <t xml:space="preserve">negatif = kas neto</t>
  </si>
  <si>
    <t xml:space="preserve">R.DE</t>
  </si>
  <si>
    <t xml:space="preserve">R.NDE</t>
  </si>
  <si>
    <t xml:space="preserve">R.ICR</t>
  </si>
  <si>
    <t xml:space="preserve">EBITDA / beban keuangan</t>
  </si>
  <si>
    <t xml:space="preserve">ARUS KAS</t>
  </si>
  <si>
    <t xml:space="preserve">R.CAPEX</t>
  </si>
  <si>
    <t xml:space="preserve">Capex (perolehan aset tetap + uang muka aset tetap) (Rp)</t>
  </si>
  <si>
    <t xml:space="preserve">R.CAPEX_R</t>
  </si>
  <si>
    <t xml:space="preserve">Capex % pendapatan</t>
  </si>
  <si>
    <t xml:space="preserve">R.FCF</t>
  </si>
  <si>
    <t xml:space="preserve">Arus kas bebas sederhana (CFO - capex) (Rp)</t>
  </si>
  <si>
    <t xml:space="preserve">R.CCONV</t>
  </si>
  <si>
    <t xml:space="preserve">CFO / laba tahun berjalan</t>
  </si>
  <si>
    <t xml:space="preserve">PER SAHAM (informasi, bukan penilaian)</t>
  </si>
  <si>
    <t xml:space="preserve">R.EPS</t>
  </si>
  <si>
    <t xml:space="preserve">Laba induk / 33,250,000,000 saham tercatat (Rp)</t>
  </si>
  <si>
    <t xml:space="preserve">saham tercatat akhir 2025</t>
  </si>
  <si>
    <t xml:space="preserve">R.EPS_W</t>
  </si>
  <si>
    <t xml:space="preserve">Laba induk / saham rata-rata tertimbang CALK (Rp)</t>
  </si>
  <si>
    <t xml:space="preserve">R.EPS_P</t>
  </si>
  <si>
    <t xml:space="preserve">EPS dasar tercetak (Rp)</t>
  </si>
  <si>
    <t xml:space="preserve">LK (2 desimal)</t>
  </si>
  <si>
    <t xml:space="preserve">R.BVPS</t>
  </si>
  <si>
    <t xml:space="preserve">Ekuitas induk per saham (Rp)</t>
  </si>
  <si>
    <t xml:space="preserve">R.DIV</t>
  </si>
  <si>
    <t xml:space="preserve">Dividen tunai dibayar (Rp)</t>
  </si>
  <si>
    <t xml:space="preserve">CARE tidak membagi dividen FY2020-2025</t>
  </si>
  <si>
    <t xml:space="preserve">Rekonsiliasi &amp; cek integritas (354 cek)</t>
  </si>
  <si>
    <t xml:space="preserve">Status = hasil rumus saat ini; Ekspektasi = hasil yang diharapkan dari data sumber (dihitung saat build). Semua ❌ yang diharapkan dijelaskan dan ditautkan ke Temuan.</t>
  </si>
  <si>
    <t xml:space="preserve">No</t>
  </si>
  <si>
    <t xml:space="preserve">Kategori</t>
  </si>
  <si>
    <t xml:space="preserve">Cek</t>
  </si>
  <si>
    <t xml:space="preserve">Tahun</t>
  </si>
  <si>
    <t xml:space="preserve">Nilai A</t>
  </si>
  <si>
    <t xml:space="preserve">Nilai B</t>
  </si>
  <si>
    <t xml:space="preserve">Selisih A-B</t>
  </si>
  <si>
    <t xml:space="preserve">Toleransi</t>
  </si>
  <si>
    <t xml:space="preserve">Status</t>
  </si>
  <si>
    <t xml:space="preserve">Ekspektasi</t>
  </si>
  <si>
    <t xml:space="preserve">Sesuai ekspektasi?</t>
  </si>
  <si>
    <t xml:space="preserve">Penjelasan / Temuan</t>
  </si>
  <si>
    <t xml:space="preserve">Subtotal rumus vs tercetak</t>
  </si>
  <si>
    <t xml:space="preserve">IS: GROSS_PROFIT rumus = tercetak</t>
  </si>
  <si>
    <t xml:space="preserve">OK</t>
  </si>
  <si>
    <t xml:space="preserve">IS: OPER_PROFIT rumus = tercetak</t>
  </si>
  <si>
    <t xml:space="preserve">IS: PBT rumus = tercetak</t>
  </si>
  <si>
    <t xml:space="preserve">IS: NET_INCOME rumus = tercetak</t>
  </si>
  <si>
    <t xml:space="preserve">IS: OCI_TOTAL rumus = tercetak</t>
  </si>
  <si>
    <t xml:space="preserve">IS: TCI rumus = tercetak</t>
  </si>
  <si>
    <t xml:space="preserve">BS: TOTAL_CA rumus = tercetak</t>
  </si>
  <si>
    <t xml:space="preserve">BS: TOTAL_NCA rumus = tercetak</t>
  </si>
  <si>
    <t xml:space="preserve">BS: TOTAL_ASSETS rumus = tercetak</t>
  </si>
  <si>
    <t xml:space="preserve">BS: TOTAL_CL rumus = tercetak</t>
  </si>
  <si>
    <t xml:space="preserve">BS: TOTAL_NCL rumus = tercetak</t>
  </si>
  <si>
    <t xml:space="preserve">BS: TOTAL_LIAB rumus = tercetak</t>
  </si>
  <si>
    <t xml:space="preserve">BS: EQUITY_PARENT rumus = tercetak</t>
  </si>
  <si>
    <t xml:space="preserve">BS: TOTAL_EQUITY rumus = tercetak</t>
  </si>
  <si>
    <t xml:space="preserve">BS: TOTAL_LIAB_EQUITY rumus = tercetak</t>
  </si>
  <si>
    <t xml:space="preserve">CF: CASH_GEN rumus = tercetak</t>
  </si>
  <si>
    <t xml:space="preserve">❌</t>
  </si>
  <si>
    <t xml:space="preserve">LK FY2021 (dan komparatifnya) tidak mencetak subtotal "kas dihasilkan dari operasi" sebelum bunga/pajak (baru disajikan sejak LK FY2023); sel tercetak kosong, bukan selisih angka. Total arus kas operasi ber-tie.</t>
  </si>
  <si>
    <t xml:space="preserve">CF: CFO rumus = tercetak</t>
  </si>
  <si>
    <t xml:space="preserve">CF: CFI rumus = tercetak</t>
  </si>
  <si>
    <t xml:space="preserve">CF: CFF rumus = tercetak</t>
  </si>
  <si>
    <t xml:space="preserve">CF: NET_CHANGE rumus = tercetak</t>
  </si>
  <si>
    <t xml:space="preserve">CF: CASH_END rumus = tercetak</t>
  </si>
  <si>
    <t xml:space="preserve">Integritas laporan</t>
  </si>
  <si>
    <t xml:space="preserve">BS: aset = liabilitas + ekuitas</t>
  </si>
  <si>
    <t xml:space="preserve">IS: laba = induk + NCI</t>
  </si>
  <si>
    <t xml:space="preserve">IS: laba komprehensif = induk + NCI</t>
  </si>
  <si>
    <t xml:space="preserve">CF: kas akhir = kas neraca (tanpa cerukan)</t>
  </si>
  <si>
    <t xml:space="preserve">LPE: dividen ke pemilik induk = dividen dibayar (CF)</t>
  </si>
  <si>
    <t xml:space="preserve">LPE: LPE: seluruh laba komprehensif induk (laba + pengukuran kembali imbalan kerja) dibukukan ke defisit; tidak ada dividen / pergerakan lain</t>
  </si>
  <si>
    <t xml:space="preserve">CALK vs laporan</t>
  </si>
  <si>
    <t xml:space="preserve">CALK FY2020 tidak dimuat: tie-out CALK, D&amp;A/EBITDA &amp; EPS tertimbang tidak dilakukan (Temuan C2)</t>
  </si>
  <si>
    <t xml:space="preserve">N/A</t>
  </si>
  <si>
    <t xml:space="preserve">Per saham</t>
  </si>
  <si>
    <t xml:space="preserve">EPS tercetak vs laba induk / saham ditempatkan akhir tahun (modal saham / Rp100) (toleransi Rp1)</t>
  </si>
  <si>
    <t xml:space="preserve">EPS 2020 tercetak memakai rata-rata tertimbang (IPO Feb 2020), sehingga sedikit di atas laba / saham akhir tahun (Temuan C3)</t>
  </si>
  <si>
    <t xml:space="preserve">LK FY2022 (dan komparatifnya) tidak mencetak subtotal "kas dihasilkan dari operasi" sebelum bunga/pajak (baru disajikan sejak LK FY2023); sel tercetak kosong, bukan selisih angka. Total arus kas operasi ber-tie.</t>
  </si>
  <si>
    <t xml:space="preserve">Antar tahun</t>
  </si>
  <si>
    <t xml:space="preserve">CF: kas awal = kas neraca tahun lalu</t>
  </si>
  <si>
    <t xml:space="preserve">Saldo laba: awal + laba komprehensif ke saldo laba (LPE) + dividen (CF) + lainnya (LPE) = akhir</t>
  </si>
  <si>
    <t xml:space="preserve">laba komprehensif ke saldo laba (defisit) = laba induk + pengukuran kembali imbalan kerja (neto pajak, porsi induk). Angka statis LPE dari CARE_cek_silang.json</t>
  </si>
  <si>
    <t xml:space="preserve">Cat 20: rawat inap + rawat jalan + lainnya + diskon = pendapatan neto IS</t>
  </si>
  <si>
    <t xml:space="preserve">Cat 20: jumlah pendapatan neto tercetak = IS</t>
  </si>
  <si>
    <t xml:space="preserve">Cat 21: jumlah beban pokok tercetak = IS</t>
  </si>
  <si>
    <t xml:space="preserve">Cat 22: jumlah beban usaha tercetak = IS</t>
  </si>
  <si>
    <t xml:space="preserve">Cat 23: jumlah penghasilan keuangan tercetak = IS</t>
  </si>
  <si>
    <t xml:space="preserve">Cat 24: jumlah beban keuangan tercetak = IS</t>
  </si>
  <si>
    <t xml:space="preserve">Cat 25: jumlah pendapatan (beban) lain neto tercetak = IS</t>
  </si>
  <si>
    <t xml:space="preserve">Cat 9: nilai tercatat aset tetap (biaya - akumulasi) = BS</t>
  </si>
  <si>
    <t xml:space="preserve">CALK internal</t>
  </si>
  <si>
    <t xml:space="preserve">Cat 21: penyusutan aset tetap di laba rugi = penambahan akumulasi Cat 9</t>
  </si>
  <si>
    <t xml:space="preserve">Cat 9 Aset tetap - biaya perolehan: awal + mutasi = akhir</t>
  </si>
  <si>
    <t xml:space="preserve">Cat 9 Aset tetap - akumulasi penyusutan: awal + mutasi = akhir</t>
  </si>
  <si>
    <t xml:space="preserve">Cat 20: Σ rincian (rawat inap + rawat jalan + lainnya + diskon) = Jumlah tercetak</t>
  </si>
  <si>
    <t xml:space="preserve">Cat 21: Σ rincian = Jumlah tercetak</t>
  </si>
  <si>
    <t xml:space="preserve">Cat 22: Σ rincian = Jumlah tercetak</t>
  </si>
  <si>
    <t xml:space="preserve">Cat 23: Σ rincian = Jumlah tercetak</t>
  </si>
  <si>
    <t xml:space="preserve">Cat 24: Σ rincian = Jumlah tercetak</t>
  </si>
  <si>
    <t xml:space="preserve">Cat 25: Σ rincian = Jumlah tercetak</t>
  </si>
  <si>
    <t xml:space="preserve">EPS tercetak vs laba induk / saham rata-rata tertimbang CALK (toleransi Rp1)</t>
  </si>
  <si>
    <t xml:space="preserve">Mutasi aset tetap: saldo awal biaya = saldo akhir tahun lalu</t>
  </si>
  <si>
    <t xml:space="preserve">Mutasi aset tetap: saldo awal akumulasi = saldo akhir tahun lalu</t>
  </si>
  <si>
    <t xml:space="preserve">Cek silang sumber (statis)</t>
  </si>
  <si>
    <t xml:space="preserve">Kas CF akhir = kas neraca</t>
  </si>
  <si>
    <t xml:space="preserve">kas dibatasi disajikan terpisah (bukan kas &amp; setara kas)</t>
  </si>
  <si>
    <t xml:space="preserve">EPS dasar: laba induk / saham tertimbang (±1 Rp)</t>
  </si>
  <si>
    <t xml:space="preserve">2020: IPO efektif 28 Feb 2020 (saham bertambah 10 miliar); saham tertimbang 2020 tidak dicatat -&gt; dibagi 33,25 miliar saham akhir tahun, selisih &lt;Rp1</t>
  </si>
  <si>
    <t xml:space="preserve">Kas awal CF = kas akhir CF tahun lalu</t>
  </si>
  <si>
    <t xml:space="preserve">Cat laba per saham: 33.250.000.000 saham</t>
  </si>
  <si>
    <t xml:space="preserve">Roll-forward defisit (awal + laba komprehensif induk = akhir)</t>
  </si>
  <si>
    <t xml:space="preserve">LPE: seluruh laba komprehensif induk (laba + pengukuran kembali imbalan kerja) dibukukan ke defisit; tidak ada dividen / pergerakan lain; saldo awal 2019 dari LPE LK FY2021</t>
  </si>
  <si>
    <t xml:space="preserve">Roll-forward NCI (awal + laba komprehensif NCI = akhir)</t>
  </si>
  <si>
    <t xml:space="preserve">LPE: seluruh laba komprehensif induk (laba + pengukuran kembali imbalan kerja) dibukukan ke defisit; tidak ada dividen / pergerakan lain</t>
  </si>
  <si>
    <t xml:space="preserve">Roll-forward modal 2020: 2.325 M + IPO 1.000 M = 3.325 M</t>
  </si>
  <si>
    <t xml:space="preserve">LPE LK FY2021</t>
  </si>
  <si>
    <t xml:space="preserve">Roll-forward tambahan modal 2020: agio IPO 30 M - biaya emisi 26,7 M</t>
  </si>
  <si>
    <t xml:space="preserve">LPE LK FY2021; = arus kas pendanaan 2020</t>
  </si>
  <si>
    <t xml:space="preserve">Pendapatan 2020 vs pemberitaan bisnis.com (Rp216,29 M)</t>
  </si>
  <si>
    <t xml:space="preserve">silang eksternal sekunder</t>
  </si>
  <si>
    <t xml:space="preserve">Cek ekstraksi sumber (statis, LK FY2025 tahapD)</t>
  </si>
  <si>
    <t xml:space="preserve">Antar tahun: komparatif 2024 di LK FY2025 vs LK FY2024 (53 pos sama label; 1 beda)</t>
  </si>
  <si>
    <t xml:space="preserve">INFO</t>
  </si>
  <si>
    <t xml:space="preserve">22/lainlainmasingmasingdibawahrp: 672,536,043 -&gt; 863,478,424</t>
  </si>
  <si>
    <t xml:space="preserve">Cek ekstraksi sumber (statis, LK FY2023 tahapD)</t>
  </si>
  <si>
    <t xml:space="preserve">Antar tahun: komparatif 2022 di LK FY2023 vs LK FY2022 (49 pos sama label; 4 beda)</t>
  </si>
  <si>
    <t xml:space="preserve">20/jumlahlapor: 233,970,724,609 -&gt; 260,426,191,178; 21/lainlainmasingmasingdibawahrp: 568,195,381 -&gt; 814,721,968; 21/jumlahlapor: 137,738,459,043 -&gt; 164,193,925,612; 25/lainlain: 240,506,745 -&gt; -151,616,203</t>
  </si>
  <si>
    <t xml:space="preserve">Model proyeksi (historis)</t>
  </si>
  <si>
    <t xml:space="preserve">IS_Proj: EBIT = laba usaha IS</t>
  </si>
  <si>
    <t xml:space="preserve">IS_Proj: laba sebelum pajak = IS</t>
  </si>
  <si>
    <t xml:space="preserve">BS_Proj agregat: aset = liabilitas + ekuitas</t>
  </si>
  <si>
    <t xml:space="preserve">BS_Proj agregat: jumlah aset = BS</t>
  </si>
  <si>
    <t xml:space="preserve">IS_Proj: rawat inap + rawat jalan + lainnya = pendapatan IS</t>
  </si>
  <si>
    <t xml:space="preserve">Model proyeksi (E)</t>
  </si>
  <si>
    <t xml:space="preserve">BS_Proj: aset = liabilitas + ekuitas</t>
  </si>
  <si>
    <t xml:space="preserve">CF_Proj: kas akhir = kas BS_Proj</t>
  </si>
  <si>
    <t xml:space="preserve">Saldo laba: awal + laba induk + dividen = akhir</t>
  </si>
  <si>
    <t xml:space="preserve">Aset tetap: awal + capex + sewa - penyusutan = akhir</t>
  </si>
  <si>
    <t xml:space="preserve">Kas proyeksi tidak negatif (informasi)</t>
  </si>
  <si>
    <t xml:space="preserve">Kas negatif = kebutuhan pendanaan tambahan/refinancing yang tidak dimodelkan (Temuan C7)</t>
  </si>
  <si>
    <t xml:space="preserve">Temuan inkonsistensi &amp; catatan forensik (2020-2025)</t>
  </si>
  <si>
    <t xml:space="preserve">Nilai statis dari LK (Rp penuh kecuali jumlah saham/token); selisih = rumus.</t>
  </si>
  <si>
    <t xml:space="preserve">Topik</t>
  </si>
  <si>
    <t xml:space="preserve">Sumber / hal</t>
  </si>
  <si>
    <t xml:space="preserve">Penjelasan</t>
  </si>
  <si>
    <t xml:space="preserve">Perlakuan di model</t>
  </si>
  <si>
    <t xml:space="preserve">C1</t>
  </si>
  <si>
    <t xml:space="preserve">FY2021 dari komparatif LK FY2022, disilang ke LK FY2021</t>
  </si>
  <si>
    <t xml:space="preserve">LK FY2022 (komparatif) vs LK audited FY2021 (situs emiten)</t>
  </si>
  <si>
    <t xml:space="preserve">Silang 80 pos 2021 (IS/BS/CF): 80 sama persis. Perbedaan penyajian hanya pemisahan pos (biaya dibayar dimuka &amp; kas dibatasi dipisah dari aset lancar lainnya; pendapatan diterima dimuka dipisah dari beban akrual), total sama. CALK 2021 (Cat 9, 20-25, laba per saham) dari kolom komparatif LK FY2022.</t>
  </si>
  <si>
    <t xml:space="preserve">Kolom 2021 dipakai penuh (termasuk CALK); bukan dasar kalibrasi asumsi.</t>
  </si>
  <si>
    <t xml:space="preserve">C2</t>
  </si>
  <si>
    <t xml:space="preserve">FY2020 dari komparatif LK FY2021 (ringkasan XBRL IDX terblokir)</t>
  </si>
  <si>
    <t xml:space="preserve">LK konsolidasian audited PT Metro Healthcare Indonesia Tbk 31 Des 2021 (EY, opini 12 Agu 2022), kolom 31 Des 2020; https://www.metrohealthcareindonesia.co.id/download_file/3f9244443f8a1ff58ce147598c85bfffa2a8bde5</t>
  </si>
  <si>
    <t xml:space="preserve">Tidak ada penyajian kembali 2020. Silang: (1) aritmetika internal semua subtotal = 0; (2) LPE 2019-&gt;2020 (modal, agio, defisit, NCI) ber-tie; (3) kas awal 2021 di LK FY2022 = kas akhir 2020; (4) pendapatan Rp216,29 M sesuai pemberitaan. Ringkasan XBRL IDX tidak dapat diunduh (403). 2020: aset lancar lainnya 1.989.727.315 tidak dipisah (LK FY2021 menggabung biaya dibayar dimuka &amp; kas dibatasi); beban akrual termasuk pendapatan diterima dimuka. Komparatif 2020 diaudit auditor lain (laporan 28 Mei 2021).</t>
  </si>
  <si>
    <t xml:space="preserve">Schedules FY2020 kosong; rasio berbasis CALK 2020 = N/A. URL IDX yang perlu diunduh manual bila ingin silang XBRL: idx.co.id &gt; Laporan Keuangan &amp; Tahunan &gt; CARE &gt; 2020 &amp; 2021 Tahunan (FinancialStatement-2020/2021-Tahunan-CARE).</t>
  </si>
  <si>
    <t xml:space="preserve">C3</t>
  </si>
  <si>
    <t xml:space="preserve">EPS &amp; jumlah saham</t>
  </si>
  <si>
    <t xml:space="preserve">LK FY2021 (EPS 2020); CALK laba per saham FY2022-25</t>
  </si>
  <si>
    <t xml:space="preserve">Saham ditempatkan 33.250.000.000 (Rp100) sejak IPO Maret 2020; rata-rata tertimbang 2021-2025 = 2021 33,250,000,000, 2022 33,250,000,000, 2023 33,250,000,000, 2024 33,250,000,000, 2025 33,250,000,000. EPS 2020 tercetak Rp0,51 memakai rata-rata tertimbang (lebih sedikit saham sebelum IPO), sedangkan laba induk / saham akhir tahun = Rp0,43; selisih &lt; Rp1.</t>
  </si>
  <si>
    <t xml:space="preserve">EPS tercetak dipakai apa adanya; proyeksi memakai 33.250.000.000 saham.</t>
  </si>
  <si>
    <t xml:space="preserve">C4</t>
  </si>
  <si>
    <t xml:space="preserve">Penyajian kembali 2022: pendapatan bruto vs neto diskon</t>
  </si>
  <si>
    <t xml:space="preserve">LK FY2022 hal 7 vs LK FY2023 hal 7 &amp; 9</t>
  </si>
  <si>
    <t xml:space="preserve">CARE: LK FY2023 menyajikan pendapatan 2022 secara bruto (diskon 26.455.466.569 dipindah dari pengurang pendapatan ke beban pokok "biaya selisih tarif klaim"); laba bruto tidak berubah. Beda kecil arus kas investasi 2022 (divestasi 225,8 jt vs 227,0 jt; uang muka aset tetap) saling hapus. 2021: LK FY2022 memisah biaya dibayar dimuka &amp; kas dibatasi (LK FY2021: aset lancar lainnya) dan pendapatan diterima dimuka (LK FY2021: dalam beban akrual) - total sama. Model memakai angka LK tahun berjalan (asli). CF 2022 ikut disajikan kembali (penerimaan pelanggan &amp; pembayaran pemasok +/- 26,5 M; total CFO tetap). Diskon 2021 (-34,8 M) juga mengurangi pendapatan. Model memakai angka asli LK tahun berjalan (2021-2022 neto diskon, 2023+ bruto), sehingga pertumbuhan pendapatan 2022-&gt;2023 dan margin bruto tidak sebanding penuh. CALK: untuk tiap catatan &amp; tahun hanya LK tahun itu sendiri yang dipakai; 21 set komparatif dari LK lebih baru dibuang: Cat 20 2022 (LK FY2023), Cat 20 2023 (LK FY2024), Cat 20 2024 (LK FY2025), Cat 21 2022 (LK FY2023), Cat 21 2023 (LK FY2024), Cat 21 2024 (LK FY2025), Cat 22 2022 (LK FY2023), Cat 22 2023 (LK FY2024), Cat 22 2024 (LK FY2025), Cat 23 2022 (LK FY2023), Cat 23 2023 (LK FY2024), Cat 23 2024 (LK FY2025).</t>
  </si>
  <si>
    <t xml:space="preserve">OVERRIDES kosong (angka asli). Baris REV.DISC memisahkan diskon; laba bruto tidak terpengaruh.</t>
  </si>
  <si>
    <t xml:space="preserve">C5</t>
  </si>
  <si>
    <t xml:space="preserve">Pendapatan 2025 memuat pendapatan investasi</t>
  </si>
  <si>
    <t xml:space="preserve">CALK Cat 20 LK FY2025</t>
  </si>
  <si>
    <t xml:space="preserve">Cat 20 FY2025 menambahkan kelompok "Lainnya" 97,8 M (pendapatan investasi) di dalam pendapatan, sehingga pendapatan naik ke 439,8 M dan laba bruto/laba usaha 2025 positif. Tanpa pos ini pendapatan rumah sakit (rawat inap + rawat jalan) = 342,0 M.</t>
  </si>
  <si>
    <t xml:space="preserve">Proyeksi: pos "Lainnya" = 0 (diasumsikan tidak berulang); pertumbuhan hanya dari rawat inap &amp; rawat jalan.</t>
  </si>
  <si>
    <t xml:space="preserve">C6</t>
  </si>
  <si>
    <t xml:space="preserve">Utang berbunga besar vs EBITDA</t>
  </si>
  <si>
    <t xml:space="preserve">Neraca &amp; laba rugi FY2025</t>
  </si>
  <si>
    <t xml:space="preserve">Utang berbunga 2025 (bank, lembaga keuangan, wesel/sukuk) 1.083,6 M; beban keuangan 80,4 M; EBITDA 96,3 M (termasuk pendapatan investasi C5). Kas + investasi jk pendek: 2020 725,5 M, 2021 1.192,4 M, 2022 853,2 M, 2023 754,8 M, 2024 492,1 M, 2025 470,7 M. Beban bunga melebihi EBITDA dari operasi rumah sakit; laba 2025 tipis dan bergantung pada pos tidak berulang.</t>
  </si>
  <si>
    <t xml:space="preserve">Beban keuangan E = suku bunga efektif x rata-rata utang; utang konstan.</t>
  </si>
  <si>
    <t xml:space="preserve">C7</t>
  </si>
  <si>
    <t xml:space="preserve">Kas proyeksi bisa negatif</t>
  </si>
  <si>
    <t xml:space="preserve">BS_Proj / CF_Proj</t>
  </si>
  <si>
    <t xml:space="preserve">Dengan asumsi Base, rugi sebelum pajak berulang (beban bunga &gt; EBITDA) dan capex menguras kas; kas proyeksi dapat menjadi negatif di tahun-tahun akhir. Model tidak menambah utang secara otomatis (debt_chg = 0).</t>
  </si>
  <si>
    <t xml:space="preserve">Cek "Kas proyeksi tidak negatif" berstatus INFO; kas negatif dibaca sebagai kebutuhan pendanaan, bukan kesalahan model.</t>
  </si>
  <si>
    <t xml:space="preserve">C8</t>
  </si>
  <si>
    <t xml:space="preserve">Uji ekstraksi ganda &amp; silang komparatif</t>
  </si>
  <si>
    <t xml:space="preserve">Ekstraksi A (pdftotext/OCR) vs B (OCR independen 400dpi), LK FY2022-25</t>
  </si>
  <si>
    <t xml:space="preserve">Ekstraksi A: pdftotext-layout (hal. teks) / OCR 300dpi psm6 (hal. gambar), direkonsiliasi (abcM). Ekstraksi B independen: OCR tesseract 400dpi grayscale psm4 untuk SEMUA halaman laporan (4-9). pdfplumber/markitdown gagal membaca text layer (encoding font) -&gt; tidak dipakai. Hasil: 935 nilai sama, 10 berbeda (semua salah baca OCR di B, misal digit 7 ganda; nilai A terbukti oleh aritmetika subtotal &amp; komparatif tahun berikut), 165 tidak terbaca di B (ditelusuri lewat aritmetika).</t>
  </si>
  <si>
    <t xml:space="preserve">Lihat Rekonsiliasi (cek silang &amp; ekstraksi).</t>
  </si>
  <si>
    <t xml:space="preserve">C9</t>
  </si>
  <si>
    <t xml:space="preserve">Kas entitas anak yang diakuisisi/dilepas</t>
  </si>
  <si>
    <t xml:space="preserve">LAK LK FY2022-FY2023</t>
  </si>
  <si>
    <t xml:space="preserve">Kas akhir = kenaikan neto + kas awal + kas entitas anak yang diakuisisi (2021) / dilepas (2022); dimuat sebagai baris CF.SUBS_CASH.</t>
  </si>
  <si>
    <t xml:space="preserve">Tidak diproyeksikan.</t>
  </si>
  <si>
    <t xml:space="preserve">Database format panjang FY2020-FY2025 (untuk digabung antar emiten)</t>
  </si>
  <si>
    <t xml:space="preserve">Nilai statis sesuai sumber, Rp penuh. Kolom basis: komparatif / dilaporkan.</t>
  </si>
  <si>
    <t xml:space="preserve">emiten</t>
  </si>
  <si>
    <t xml:space="preserve">kode_emiten</t>
  </si>
  <si>
    <t xml:space="preserve">periode</t>
  </si>
  <si>
    <t xml:space="preserve">laporan</t>
  </si>
  <si>
    <t xml:space="preserve">kode_akun</t>
  </si>
  <si>
    <t xml:space="preserve">akun</t>
  </si>
  <si>
    <t xml:space="preserve">nilai</t>
  </si>
  <si>
    <t xml:space="preserve">satuan</t>
  </si>
  <si>
    <t xml:space="preserve">catatan</t>
  </si>
  <si>
    <t xml:space="preserve">halaman</t>
  </si>
  <si>
    <t xml:space="preserve">sumber</t>
  </si>
  <si>
    <t xml:space="preserve">basis</t>
  </si>
  <si>
    <t xml:space="preserve">keterangan</t>
  </si>
  <si>
    <t xml:space="preserve">FY2020</t>
  </si>
  <si>
    <t xml:space="preserve">Rp</t>
  </si>
  <si>
    <t xml:space="preserve">LK FY2021 audited (komparatif 2020) - laporan laba rugi</t>
  </si>
  <si>
    <t xml:space="preserve">LK FY2021 audited (komparatif 2020)</t>
  </si>
  <si>
    <t xml:space="preserve">komparatif</t>
  </si>
  <si>
    <t xml:space="preserve">FY2021</t>
  </si>
  <si>
    <t xml:space="preserve">LK FY2022 hal 7</t>
  </si>
  <si>
    <t xml:space="preserve">LK FY2022 (komparatif), disilang ke LK FY2021</t>
  </si>
  <si>
    <t xml:space="preserve">FY2022</t>
  </si>
  <si>
    <t xml:space="preserve">dilaporkan</t>
  </si>
  <si>
    <t xml:space="preserve">FY2023</t>
  </si>
  <si>
    <t xml:space="preserve">LK FY2023 hal 7</t>
  </si>
  <si>
    <t xml:space="preserve">FY2024</t>
  </si>
  <si>
    <t xml:space="preserve">LK FY2024 hal 7</t>
  </si>
  <si>
    <t xml:space="preserve">FY2025</t>
  </si>
  <si>
    <t xml:space="preserve">LK FY2025 hal 7</t>
  </si>
  <si>
    <t xml:space="preserve">subtotal dihitung</t>
  </si>
  <si>
    <t xml:space="preserve">LK FY2021 audited (komparatif 2020) - laporan posisi keuangan</t>
  </si>
  <si>
    <t xml:space="preserve">LK FY2022 hal 4</t>
  </si>
  <si>
    <t xml:space="preserve">LK FY2023 hal 4</t>
  </si>
  <si>
    <t xml:space="preserve">LK FY2024 hal 4</t>
  </si>
  <si>
    <t xml:space="preserve">LK FY2025 hal 4</t>
  </si>
  <si>
    <t xml:space="preserve">LK FY2022 hal 5</t>
  </si>
  <si>
    <t xml:space="preserve">LK FY2023 hal 5</t>
  </si>
  <si>
    <t xml:space="preserve">LK FY2024 hal 5</t>
  </si>
  <si>
    <t xml:space="preserve">LK FY2025 hal 5</t>
  </si>
  <si>
    <t xml:space="preserve">LK FY2022 hal 6</t>
  </si>
  <si>
    <t xml:space="preserve">LK FY2023 hal 6</t>
  </si>
  <si>
    <t xml:space="preserve">LK FY2024 hal 6</t>
  </si>
  <si>
    <t xml:space="preserve">LK FY2025 hal 6</t>
  </si>
  <si>
    <t xml:space="preserve">LK FY2021 audited (komparatif 2020) - laporan arus kas</t>
  </si>
  <si>
    <t xml:space="preserve">LK FY2022 hal 9</t>
  </si>
  <si>
    <t xml:space="preserve">LK FY2023 hal 9</t>
  </si>
  <si>
    <t xml:space="preserve">LK FY2024 hal 9</t>
  </si>
  <si>
    <t xml:space="preserve">LK FY2025 hal 9</t>
  </si>
  <si>
    <t xml:space="preserve">CALK</t>
  </si>
  <si>
    <t xml:space="preserve">C20|Rawat inap</t>
  </si>
  <si>
    <t xml:space="preserve">Kamar rawat inap</t>
  </si>
  <si>
    <t xml:space="preserve">20</t>
  </si>
  <si>
    <t xml:space="preserve">LK FY2022 tahapD</t>
  </si>
  <si>
    <t xml:space="preserve">LK FY2023 tahapD</t>
  </si>
  <si>
    <t xml:space="preserve">LK FY2024 tahapD</t>
  </si>
  <si>
    <t xml:space="preserve">LK FY2025 tahapD</t>
  </si>
  <si>
    <t xml:space="preserve">Jasa medis</t>
  </si>
  <si>
    <t xml:space="preserve">Obat dan perlengkapan medis</t>
  </si>
  <si>
    <t xml:space="preserve">Jasa penunjang medis</t>
  </si>
  <si>
    <t xml:space="preserve">Pendapatan administrasi dan lainnya</t>
  </si>
  <si>
    <t xml:space="preserve">C20|Rawat jalan</t>
  </si>
  <si>
    <t xml:space="preserve">Jasa instalasi gawat darurat</t>
  </si>
  <si>
    <t xml:space="preserve">C20|Lainnya</t>
  </si>
  <si>
    <t xml:space="preserve">Pendapatan investasi</t>
  </si>
  <si>
    <t xml:space="preserve">C20|Jumlah</t>
  </si>
  <si>
    <t xml:space="preserve">JUMLAH (lapor)</t>
  </si>
  <si>
    <t xml:space="preserve">C21|Jumlah</t>
  </si>
  <si>
    <t xml:space="preserve">Jasa tenaga ahli medis</t>
  </si>
  <si>
    <t xml:space="preserve">21</t>
  </si>
  <si>
    <t xml:space="preserve">Biaya selisih tarif klaim</t>
  </si>
  <si>
    <t xml:space="preserve">Penyusutan</t>
  </si>
  <si>
    <t xml:space="preserve">Makanan dan minuman</t>
  </si>
  <si>
    <t xml:space="preserve">Rujukan</t>
  </si>
  <si>
    <t xml:space="preserve">Gaji dan tunjangan karyawan</t>
  </si>
  <si>
    <t xml:space="preserve">Lain-lain (masing-masing di bawah Rp 200.000.000)</t>
  </si>
  <si>
    <t xml:space="preserve">C22|Jumlah</t>
  </si>
  <si>
    <t xml:space="preserve">Gaji dan tunjangan</t>
  </si>
  <si>
    <t xml:space="preserve">22</t>
  </si>
  <si>
    <t xml:space="preserve">Honorarium tenaga ahli</t>
  </si>
  <si>
    <t xml:space="preserve">Pajak dan perijinan</t>
  </si>
  <si>
    <t xml:space="preserve">Listrik dan air</t>
  </si>
  <si>
    <t xml:space="preserve">Peralatan kantor</t>
  </si>
  <si>
    <t xml:space="preserve">Jasa kebersihan</t>
  </si>
  <si>
    <t xml:space="preserve">Keamanan</t>
  </si>
  <si>
    <t xml:space="preserve">Sewa</t>
  </si>
  <si>
    <t xml:space="preserve">Perbaikan dan pemeliharaan</t>
  </si>
  <si>
    <t xml:space="preserve">Imbalan pascakerja</t>
  </si>
  <si>
    <t xml:space="preserve">Transportasi</t>
  </si>
  <si>
    <t xml:space="preserve">Lingkungan</t>
  </si>
  <si>
    <t xml:space="preserve">Pelatihan</t>
  </si>
  <si>
    <t xml:space="preserve">Iklan dan promosi</t>
  </si>
  <si>
    <t xml:space="preserve">Asuransi</t>
  </si>
  <si>
    <t xml:space="preserve">Kerugian penurunan nilai piutang usaha</t>
  </si>
  <si>
    <t xml:space="preserve">C23|Jumlah</t>
  </si>
  <si>
    <t xml:space="preserve">Bunga bank</t>
  </si>
  <si>
    <t xml:space="preserve">23</t>
  </si>
  <si>
    <t xml:space="preserve">Bunga promissory note</t>
  </si>
  <si>
    <t xml:space="preserve">Bunga deposito berjangka</t>
  </si>
  <si>
    <t xml:space="preserve">C24|Jumlah</t>
  </si>
  <si>
    <t xml:space="preserve">Bunga pinjaman bank</t>
  </si>
  <si>
    <t xml:space="preserve">24</t>
  </si>
  <si>
    <t xml:space="preserve">Bunga sukuk wakalah</t>
  </si>
  <si>
    <t xml:space="preserve">Bunga wesel bayar</t>
  </si>
  <si>
    <t xml:space="preserve">Administrasi bank</t>
  </si>
  <si>
    <t xml:space="preserve">Denda pelunasan dipercepat</t>
  </si>
  <si>
    <t xml:space="preserve">C25|Jumlah</t>
  </si>
  <si>
    <t xml:space="preserve">Pendapatan sewa</t>
  </si>
  <si>
    <t xml:space="preserve">25</t>
  </si>
  <si>
    <t xml:space="preserve">Keuntungan dari divestasi Entitas Anak - neto</t>
  </si>
  <si>
    <t xml:space="preserve">Lain-lain - neto</t>
  </si>
  <si>
    <t xml:space="preserve">CEPS|Laba per saham</t>
  </si>
  <si>
    <t xml:space="preserve">Laba induk</t>
  </si>
  <si>
    <t xml:space="preserve">lembar</t>
  </si>
  <si>
    <t xml:space="preserve">Rata-rata tertimbang saham beredar (dasar)</t>
  </si>
  <si>
    <t xml:space="preserve">EPS dasar (Rp)</t>
  </si>
  <si>
    <t xml:space="preserve">Komunikasi</t>
  </si>
  <si>
    <t xml:space="preserve">Keuntungan dari divestasi entitas anak - neto</t>
  </si>
  <si>
    <t xml:space="preserve">Laba atas penjualan aset tetap</t>
  </si>
  <si>
    <t xml:space="preserve">Cleaning services</t>
  </si>
  <si>
    <t xml:space="preserve">Bunga surat sanggup bayar</t>
  </si>
  <si>
    <t xml:space="preserve">Lain-lain</t>
  </si>
  <si>
    <t xml:space="preserve">Total bruto</t>
  </si>
  <si>
    <t xml:space="preserve">Diskon</t>
  </si>
  <si>
    <t xml:space="preserve">Jasa tenaga ahli, gaji dan tunjangan</t>
  </si>
  <si>
    <t xml:space="preserve">Lain-lain (masing-masing dibawah Rp 200.000.000)</t>
  </si>
  <si>
    <t xml:space="preserve">Cadangan kerugian piutang</t>
  </si>
  <si>
    <t xml:space="preserve">Keuntungan dari divestasi entitas anak</t>
  </si>
  <si>
    <t xml:space="preserve">Keuntungan dari penjualan aset tetap</t>
  </si>
  <si>
    <t xml:space="preserve">Keuntungan dari akuisisi entitas anak</t>
  </si>
  <si>
    <t xml:space="preserve">MUT|akumulasi penyusutan|saldo_awal</t>
  </si>
  <si>
    <t xml:space="preserve">JUMLAH</t>
  </si>
  <si>
    <t xml:space="preserve">10</t>
  </si>
  <si>
    <t xml:space="preserve">mutasi</t>
  </si>
  <si>
    <t xml:space="preserve">MUT|akumulasi penyusutan|akuisisi</t>
  </si>
  <si>
    <t xml:space="preserve">MUT|akumulasi penyusutan|penambahan</t>
  </si>
  <si>
    <t xml:space="preserve">MUT|akumulasi penyusutan|pengurangan</t>
  </si>
  <si>
    <t xml:space="preserve">MUT|akumulasi penyusutan|reklasifikasi</t>
  </si>
  <si>
    <t xml:space="preserve">MUT|akumulasi penyusutan|saldo_akhir</t>
  </si>
  <si>
    <t xml:space="preserve">MUT|biaya perolehan|saldo_awal</t>
  </si>
  <si>
    <t xml:space="preserve">MUT|biaya perolehan|akuisisi</t>
  </si>
  <si>
    <t xml:space="preserve">MUT|biaya perolehan|penambahan</t>
  </si>
  <si>
    <t xml:space="preserve">MUT|biaya perolehan|pengurangan</t>
  </si>
  <si>
    <t xml:space="preserve">MUT|biaya perolehan|reklasifikasi</t>
  </si>
  <si>
    <t xml:space="preserve">MUT|biaya perolehan|saldo_akhir</t>
  </si>
  <si>
    <t xml:space="preserve">Log data &amp; sumber</t>
  </si>
  <si>
    <t xml:space="preserve">Sumber per tahun, pemetaan akun, dan catatan pemuatan</t>
  </si>
  <si>
    <t xml:space="preserve">Jenis</t>
  </si>
  <si>
    <t xml:space="preserve">Item</t>
  </si>
  <si>
    <t xml:space="preserve">Keterangan</t>
  </si>
  <si>
    <t xml:space="preserve">Sumber</t>
  </si>
  <si>
    <t xml:space="preserve">Kolom FY2020</t>
  </si>
  <si>
    <t xml:space="preserve">Kolom FY2021</t>
  </si>
  <si>
    <t xml:space="preserve">Kolom FY2022</t>
  </si>
  <si>
    <t xml:space="preserve">Kolom FY2023</t>
  </si>
  <si>
    <t xml:space="preserve">Kolom FY2024</t>
  </si>
  <si>
    <t xml:space="preserve">Kolom FY2025</t>
  </si>
  <si>
    <t xml:space="preserve">Basis 2021</t>
  </si>
  <si>
    <t xml:space="preserve">CARE tercatat di BEI sejak IPO efektif 28 Feb 2020. Ringkasan XBRL IDX FS-2020/2021 terblokir (HTTP 403); kolom 2020 diambil dari LK konsolidasian audited FY2021 (komparatif 2020, situs emiten), kolom 2021 dari komparatif LK FY2022 disilang ke LK FY2021. 2020 tanpa CALK.</t>
  </si>
  <si>
    <t xml:space="preserve">Catatan penyajian kembali</t>
  </si>
  <si>
    <t xml:space="preserve">2022</t>
  </si>
  <si>
    <t xml:space="preserve">CARE: LK FY2023 menyajikan pendapatan 2022 secara bruto (diskon 26.455.466.569 dipindah dari pengurang pendapatan ke beban pokok "biaya selisih tarif klaim"); laba bruto tidak berubah. Beda kecil arus kas investasi 2022 (divestasi 225,8 jt vs 227,0 jt; uang muka aset tetap) saling hapus. 2021: LK FY2022 memisah biaya dibayar dimuka &amp; kas dibatasi (LK FY2021: aset lancar lainnya) dan pendapatan diterima dimuka (LK FY2021: dalam beban akrual) - total sama. Model memakai angka LK tahun berjalan (asli).</t>
  </si>
  <si>
    <t xml:space="preserve">Pemetaan akun</t>
  </si>
  <si>
    <t xml:space="preserve">beban_usaha</t>
  </si>
  <si>
    <t xml:space="preserve">IS.OPEX_TOTAL: beban umum &amp; administrasi (Cat 22)</t>
  </si>
  <si>
    <t xml:space="preserve">pendapatan_lain</t>
  </si>
  <si>
    <t xml:space="preserve">IS.OTHER_INCOME: neto, disajikan di bawah laba usaha (Cat 25)</t>
  </si>
  <si>
    <t xml:space="preserve">goodwill</t>
  </si>
  <si>
    <t xml:space="preserve">utang berbunga</t>
  </si>
  <si>
    <t xml:space="preserve">BS.ST_BANK, LT_BANK_*, FINLOAN_*, NOTES_* (wesel bayar/sukuk)</t>
  </si>
  <si>
    <t xml:space="preserve">kas_anak_akuisisi</t>
  </si>
  <si>
    <t xml:space="preserve">CF.SUBS_CASH (Temuan C9)</t>
  </si>
  <si>
    <t xml:space="preserve">KAS_DARI_OPERASI</t>
  </si>
  <si>
    <t xml:space="preserve">CF.CASH_GEN_PRINTED: subtotal kas dari operasi sebelum bunga &amp; pajak</t>
  </si>
  <si>
    <t xml:space="preserve">CALK dibuang (komparatif lebih baru)</t>
  </si>
  <si>
    <t xml:space="preserve">Cat 23</t>
  </si>
  <si>
    <t xml:space="preserve">Cat 24</t>
  </si>
  <si>
    <t xml:space="preserve">Cat 25</t>
  </si>
  <si>
    <t xml:space="preserve">Cat EPS</t>
  </si>
  <si>
    <t xml:space="preserve">File CALK</t>
  </si>
  <si>
    <t xml:space="preserve">CARE_FY2022_tahapD_calk.json</t>
  </si>
  <si>
    <t xml:space="preserve">dimuat</t>
  </si>
  <si>
    <t xml:space="preserve">CARE_FY2023_tahapD_calk.json</t>
  </si>
  <si>
    <t xml:space="preserve">CARE_FY2024_tahapD_calk.json</t>
  </si>
  <si>
    <t xml:space="preserve">CARE_FY2025_tahapD_calk.json</t>
  </si>
</sst>
</file>

<file path=xl/styles.xml><?xml version="1.0" encoding="utf-8"?>
<styleSheet xmlns="http://schemas.openxmlformats.org/spreadsheetml/2006/main">
  <numFmts count="12">
    <numFmt numFmtId="164" formatCode="General"/>
    <numFmt numFmtId="165" formatCode="#,##0.0;\(#,##0.0\);\-"/>
    <numFmt numFmtId="166" formatCode="0.0%;\(0.0%\);\-"/>
    <numFmt numFmtId="167" formatCode="0.00\x;\(0.00&quot;x)&quot;;\-"/>
    <numFmt numFmtId="168" formatCode="#,##0;\(#,##0\);\-"/>
    <numFmt numFmtId="169" formatCode="#,##0"/>
    <numFmt numFmtId="170" formatCode="0%"/>
    <numFmt numFmtId="171" formatCode="0.0"/>
    <numFmt numFmtId="172" formatCode="#,##0.00;\(#,##0.00\);\-"/>
    <numFmt numFmtId="173" formatCode="0"/>
    <numFmt numFmtId="174" formatCode="0.0000"/>
    <numFmt numFmtId="175" formatCode="#,##0.00"/>
  </numFmts>
  <fonts count="33">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2"/>
      <color rgb="FF1F3864"/>
      <name val="Arial"/>
      <family val="0"/>
      <charset val="1"/>
    </font>
    <font>
      <b val="true"/>
      <sz val="10"/>
      <color rgb="FF1F3864"/>
      <name val="Arial"/>
      <family val="0"/>
      <charset val="1"/>
    </font>
    <font>
      <b val="true"/>
      <sz val="10"/>
      <color rgb="FF000000"/>
      <name val="Arial"/>
      <family val="0"/>
      <charset val="1"/>
    </font>
    <font>
      <b val="true"/>
      <sz val="10"/>
      <color rgb="FFC00000"/>
      <name val="Arial"/>
      <family val="0"/>
      <charset val="1"/>
    </font>
    <font>
      <sz val="10"/>
      <color rgb="FF000000"/>
      <name val="Arial"/>
      <family val="0"/>
      <charset val="1"/>
    </font>
    <font>
      <b val="true"/>
      <sz val="10"/>
      <color rgb="FF008000"/>
      <name val="Arial"/>
      <family val="0"/>
      <charset val="1"/>
    </font>
    <font>
      <u val="single"/>
      <sz val="10"/>
      <color rgb="FF0563C1"/>
      <name val="Arial"/>
      <family val="0"/>
      <charset val="1"/>
    </font>
    <font>
      <b val="true"/>
      <sz val="14"/>
      <color rgb="FF1F3864"/>
      <name val="Arial"/>
      <family val="0"/>
      <charset val="1"/>
    </font>
    <font>
      <i val="true"/>
      <sz val="9"/>
      <color rgb="FF595959"/>
      <name val="Arial"/>
      <family val="0"/>
      <charset val="1"/>
    </font>
    <font>
      <b val="true"/>
      <sz val="13"/>
      <color rgb="FF1F3864"/>
      <name val="Arial"/>
      <family val="0"/>
      <charset val="1"/>
    </font>
    <font>
      <i val="true"/>
      <sz val="8"/>
      <color rgb="FF595959"/>
      <name val="Arial"/>
      <family val="0"/>
      <charset val="1"/>
    </font>
    <font>
      <i val="true"/>
      <sz val="8"/>
      <color rgb="FF000000"/>
      <name val="Arial"/>
      <family val="0"/>
      <charset val="1"/>
    </font>
    <font>
      <b val="true"/>
      <sz val="11"/>
      <color rgb="FF1F3864"/>
      <name val="Arial"/>
      <family val="0"/>
      <charset val="1"/>
    </font>
    <font>
      <sz val="9"/>
      <color rgb="FF000000"/>
      <name val="Arial"/>
      <family val="0"/>
      <charset val="1"/>
    </font>
    <font>
      <b val="true"/>
      <sz val="10"/>
      <color rgb="FFFFFFFF"/>
      <name val="Arial"/>
      <family val="0"/>
      <charset val="1"/>
    </font>
    <font>
      <b val="true"/>
      <sz val="9"/>
      <color rgb="FF000000"/>
      <name val="Arial"/>
      <family val="0"/>
      <charset val="1"/>
    </font>
    <font>
      <i val="true"/>
      <sz val="7.5"/>
      <color rgb="FF595959"/>
      <name val="Arial"/>
      <family val="0"/>
      <charset val="1"/>
    </font>
    <font>
      <sz val="8.5"/>
      <color rgb="FF000000"/>
      <name val="Arial"/>
      <family val="0"/>
      <charset val="1"/>
    </font>
    <font>
      <b val="true"/>
      <sz val="11"/>
      <color rgb="FF375623"/>
      <name val="Arial"/>
      <family val="0"/>
      <charset val="1"/>
    </font>
    <font>
      <sz val="8"/>
      <color rgb="FF000000"/>
      <name val="Arial"/>
      <family val="0"/>
      <charset val="1"/>
    </font>
    <font>
      <b val="true"/>
      <sz val="11"/>
      <color rgb="FFC00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FF"/>
      <name val="Arial"/>
      <family val="0"/>
      <charset val="1"/>
    </font>
    <font>
      <sz val="8"/>
      <color rgb="FF7F7F7F"/>
      <name val="Arial"/>
      <family val="0"/>
      <charset val="1"/>
    </font>
    <font>
      <sz val="10"/>
      <color rgb="FF0000FF"/>
      <name val="Arial"/>
      <family val="0"/>
      <charset val="1"/>
    </font>
    <font>
      <sz val="10"/>
      <name val="Arial"/>
      <family val="2"/>
    </font>
  </fonts>
  <fills count="12">
    <fill>
      <patternFill patternType="none"/>
    </fill>
    <fill>
      <patternFill patternType="gray125"/>
    </fill>
    <fill>
      <patternFill patternType="solid">
        <fgColor rgb="FFE2EFDA"/>
        <bgColor rgb="FFEDEDED"/>
      </patternFill>
    </fill>
    <fill>
      <patternFill patternType="solid">
        <fgColor rgb="FFD9E1F2"/>
        <bgColor rgb="FFD9D9D9"/>
      </patternFill>
    </fill>
    <fill>
      <patternFill patternType="solid">
        <fgColor rgb="FFEDEDED"/>
        <bgColor rgb="FFF2F2F2"/>
      </patternFill>
    </fill>
    <fill>
      <patternFill patternType="solid">
        <fgColor rgb="FF1F3864"/>
        <bgColor rgb="FF2F5597"/>
      </patternFill>
    </fill>
    <fill>
      <patternFill patternType="solid">
        <fgColor rgb="FFF7F7F7"/>
        <bgColor rgb="FFF2F2F2"/>
      </patternFill>
    </fill>
    <fill>
      <patternFill patternType="solid">
        <fgColor rgb="FF2F5597"/>
        <bgColor rgb="FF0563C1"/>
      </patternFill>
    </fill>
    <fill>
      <patternFill patternType="solid">
        <fgColor rgb="FFEEF3FA"/>
        <bgColor rgb="FFF2F2F2"/>
      </patternFill>
    </fill>
    <fill>
      <patternFill patternType="solid">
        <fgColor rgb="FFFFF2CC"/>
        <bgColor rgb="FFFCE4D6"/>
      </patternFill>
    </fill>
    <fill>
      <patternFill patternType="solid">
        <fgColor rgb="FFF2F2F2"/>
        <bgColor rgb="FFEEF3FA"/>
      </patternFill>
    </fill>
    <fill>
      <patternFill patternType="solid">
        <fgColor rgb="FFFCE4D6"/>
        <bgColor rgb="FFFFF2CC"/>
      </patternFill>
    </fill>
  </fills>
  <borders count="4">
    <border diagonalUp="false" diagonalDown="false">
      <left/>
      <right/>
      <top/>
      <bottom/>
      <diagonal/>
    </border>
    <border diagonalUp="false" diagonalDown="false">
      <left/>
      <right/>
      <top/>
      <bottom style="medium">
        <color rgb="FF1F3864"/>
      </bottom>
      <diagonal/>
    </border>
    <border diagonalUp="false" diagonalDown="false">
      <left/>
      <right/>
      <top/>
      <bottom style="hair">
        <color rgb="FFA6A6A6"/>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4"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center" vertical="center" textRotation="0" wrapText="true" indent="0" shrinkToFit="false"/>
      <protection locked="true" hidden="false"/>
    </xf>
    <xf numFmtId="164" fontId="20" fillId="6" borderId="2" xfId="0" applyFont="true" applyBorder="true" applyAlignment="false" applyProtection="false">
      <alignment horizontal="general" vertical="bottom" textRotation="0" wrapText="false" indent="0" shrinkToFit="false"/>
      <protection locked="true" hidden="false"/>
    </xf>
    <xf numFmtId="165" fontId="18" fillId="6" borderId="2" xfId="0" applyFont="true" applyBorder="true" applyAlignment="true" applyProtection="false">
      <alignment horizontal="right" vertical="bottom" textRotation="0" wrapText="false" indent="0" shrinkToFit="false"/>
      <protection locked="true" hidden="false"/>
    </xf>
    <xf numFmtId="164" fontId="18" fillId="0" borderId="2" xfId="0" applyFont="true" applyBorder="true" applyAlignment="false" applyProtection="false">
      <alignment horizontal="general" vertical="bottom" textRotation="0" wrapText="false" indent="0" shrinkToFit="false"/>
      <protection locked="true" hidden="false"/>
    </xf>
    <xf numFmtId="166" fontId="18" fillId="0" borderId="2" xfId="0" applyFont="true" applyBorder="true" applyAlignment="true" applyProtection="false">
      <alignment horizontal="right" vertical="bottom" textRotation="0" wrapText="false" indent="0" shrinkToFit="false"/>
      <protection locked="true" hidden="false"/>
    </xf>
    <xf numFmtId="166" fontId="18" fillId="6" borderId="2" xfId="0" applyFont="true" applyBorder="true" applyAlignment="true" applyProtection="false">
      <alignment horizontal="right" vertical="bottom" textRotation="0" wrapText="fals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5" fontId="18" fillId="0" borderId="2" xfId="0" applyFont="true" applyBorder="true" applyAlignment="true" applyProtection="false">
      <alignment horizontal="right" vertical="bottom" textRotation="0" wrapText="false" indent="0" shrinkToFit="false"/>
      <protection locked="true" hidden="false"/>
    </xf>
    <xf numFmtId="164" fontId="18" fillId="6" borderId="2" xfId="0" applyFont="true" applyBorder="true" applyAlignment="false" applyProtection="false">
      <alignment horizontal="general" vertical="bottom" textRotation="0" wrapText="false" indent="0" shrinkToFit="false"/>
      <protection locked="true" hidden="false"/>
    </xf>
    <xf numFmtId="167" fontId="18" fillId="6" borderId="2" xfId="0" applyFont="true" applyBorder="true" applyAlignment="true" applyProtection="false">
      <alignment horizontal="right"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23" fillId="2" borderId="0" xfId="0" applyFont="true" applyBorder="true" applyAlignment="true" applyProtection="false">
      <alignment horizontal="general" vertical="top" textRotation="0" wrapText="true" indent="0" shrinkToFit="false"/>
      <protection locked="true" hidden="false"/>
    </xf>
    <xf numFmtId="164" fontId="22" fillId="2"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2" fillId="4"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9" fillId="7" borderId="0" xfId="0" applyFont="true" applyBorder="false" applyAlignment="true" applyProtection="false">
      <alignment horizontal="center" vertical="center" textRotation="0" wrapText="tru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65" fontId="26" fillId="8" borderId="0" xfId="0" applyFont="true" applyBorder="fals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6" fontId="26" fillId="8" borderId="0" xfId="0" applyFont="true" applyBorder="false" applyAlignment="false" applyProtection="false">
      <alignment horizontal="general" vertical="bottom" textRotation="0" wrapText="false" indent="0" shrinkToFit="false"/>
      <protection locked="true" hidden="false"/>
    </xf>
    <xf numFmtId="167" fontId="26" fillId="0" borderId="0" xfId="0" applyFont="true" applyBorder="false" applyAlignment="false" applyProtection="false">
      <alignment horizontal="general" vertical="bottom" textRotation="0" wrapText="false" indent="0" shrinkToFit="false"/>
      <protection locked="true" hidden="false"/>
    </xf>
    <xf numFmtId="167" fontId="26" fillId="8" borderId="0" xfId="0" applyFont="true" applyBorder="false" applyAlignment="false" applyProtection="false">
      <alignment horizontal="general" vertical="bottom" textRotation="0" wrapText="false" indent="0" shrinkToFit="false"/>
      <protection locked="true" hidden="false"/>
    </xf>
    <xf numFmtId="168" fontId="26" fillId="0" borderId="0" xfId="0" applyFont="true" applyBorder="false" applyAlignment="false" applyProtection="false">
      <alignment horizontal="general" vertical="bottom" textRotation="0" wrapText="false" indent="0" shrinkToFit="false"/>
      <protection locked="true" hidden="false"/>
    </xf>
    <xf numFmtId="168" fontId="26" fillId="8" borderId="0" xfId="0" applyFont="true" applyBorder="false" applyAlignment="false" applyProtection="false">
      <alignment horizontal="general" vertical="bottom" textRotation="0" wrapText="false" indent="0" shrinkToFit="false"/>
      <protection locked="true" hidden="false"/>
    </xf>
    <xf numFmtId="164" fontId="29" fillId="9"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6" fontId="7" fillId="8"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5" fontId="7" fillId="8" borderId="0" xfId="0" applyFont="true" applyBorder="false" applyAlignment="false" applyProtection="false">
      <alignment horizontal="general" vertical="bottom" textRotation="0" wrapText="false" indent="0" shrinkToFit="false"/>
      <protection locked="true" hidden="false"/>
    </xf>
    <xf numFmtId="168" fontId="7" fillId="8" borderId="0" xfId="0" applyFont="true" applyBorder="false" applyAlignment="false" applyProtection="false">
      <alignment horizontal="general" vertical="bottom" textRotation="0" wrapText="false" indent="0" shrinkToFit="false"/>
      <protection locked="true" hidden="false"/>
    </xf>
    <xf numFmtId="166" fontId="31" fillId="0" borderId="0" xfId="0" applyFont="true" applyBorder="false" applyAlignment="false" applyProtection="false">
      <alignment horizontal="general" vertical="bottom" textRotation="0" wrapText="fals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68" fontId="31" fillId="0" borderId="0" xfId="0" applyFont="true" applyBorder="false" applyAlignment="false" applyProtection="false">
      <alignment horizontal="general" vertical="bottom" textRotation="0" wrapText="false" indent="0" shrinkToFit="false"/>
      <protection locked="true" hidden="false"/>
    </xf>
    <xf numFmtId="169" fontId="31" fillId="0" borderId="0" xfId="0" applyFont="true" applyBorder="false" applyAlignment="false" applyProtection="false">
      <alignment horizontal="general" vertical="bottom" textRotation="0" wrapText="false" indent="0" shrinkToFit="false"/>
      <protection locked="true" hidden="false"/>
    </xf>
    <xf numFmtId="168" fontId="9" fillId="8" borderId="0" xfId="0" applyFont="true" applyBorder="false" applyAlignment="false" applyProtection="false">
      <alignment horizontal="general" vertical="bottom" textRotation="0" wrapText="false" indent="0" shrinkToFit="false"/>
      <protection locked="true" hidden="false"/>
    </xf>
    <xf numFmtId="164" fontId="30" fillId="10"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8" fontId="10" fillId="10" borderId="3" xfId="0" applyFont="true" applyBorder="true" applyAlignment="false" applyProtection="false">
      <alignment horizontal="general" vertical="bottom" textRotation="0" wrapText="false" indent="0" shrinkToFit="false"/>
      <protection locked="true" hidden="false"/>
    </xf>
    <xf numFmtId="168" fontId="7" fillId="10" borderId="3" xfId="0" applyFont="true" applyBorder="tru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9" fillId="8" borderId="0" xfId="0" applyFont="true" applyBorder="false" applyAlignment="false" applyProtection="false">
      <alignment horizontal="general" vertical="bottom" textRotation="0" wrapText="false" indent="0" shrinkToFit="false"/>
      <protection locked="true" hidden="false"/>
    </xf>
    <xf numFmtId="168" fontId="29" fillId="10" borderId="3" xfId="0" applyFont="true" applyBorder="true" applyAlignment="false" applyProtection="false">
      <alignment horizontal="general" vertical="bottom" textRotation="0" wrapText="false" indent="0" shrinkToFit="false"/>
      <protection locked="true" hidden="false"/>
    </xf>
    <xf numFmtId="172" fontId="26" fillId="0" borderId="0" xfId="0" applyFont="true" applyBorder="false" applyAlignment="false" applyProtection="false">
      <alignment horizontal="general" vertical="bottom" textRotation="0" wrapText="false" indent="0" shrinkToFit="false"/>
      <protection locked="true" hidden="false"/>
    </xf>
    <xf numFmtId="172" fontId="26" fillId="8"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7" fontId="31" fillId="0" borderId="0" xfId="0" applyFont="true" applyBorder="false" applyAlignment="false" applyProtection="false">
      <alignment horizontal="general" vertical="bottom" textRotation="0" wrapText="false" indent="0" shrinkToFit="false"/>
      <protection locked="true" hidden="false"/>
    </xf>
    <xf numFmtId="166" fontId="31" fillId="9" borderId="0" xfId="0" applyFont="true" applyBorder="false" applyAlignment="false" applyProtection="false">
      <alignment horizontal="general" vertical="bottom" textRotation="0" wrapText="false" indent="0" shrinkToFit="false"/>
      <protection locked="true" hidden="false"/>
    </xf>
    <xf numFmtId="172" fontId="31" fillId="9" borderId="0" xfId="0" applyFont="true" applyBorder="false" applyAlignment="false" applyProtection="false">
      <alignment horizontal="general" vertical="bottom" textRotation="0" wrapText="false" indent="0" shrinkToFit="false"/>
      <protection locked="true" hidden="false"/>
    </xf>
    <xf numFmtId="167" fontId="31" fillId="9" borderId="0" xfId="0" applyFont="true" applyBorder="false" applyAlignment="false" applyProtection="false">
      <alignment horizontal="general" vertical="bottom" textRotation="0" wrapText="false" indent="0" shrinkToFit="false"/>
      <protection locked="true" hidden="false"/>
    </xf>
    <xf numFmtId="168" fontId="31" fillId="9"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3" fontId="31"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8" fontId="7" fillId="10" borderId="0" xfId="0" applyFont="true" applyBorder="false" applyAlignment="false" applyProtection="false">
      <alignment horizontal="general" vertical="bottom" textRotation="0" wrapText="false" indent="0" shrinkToFit="false"/>
      <protection locked="true" hidden="false"/>
    </xf>
    <xf numFmtId="166" fontId="7" fillId="1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9" fontId="9" fillId="9" borderId="0" xfId="0" applyFont="true" applyBorder="false" applyAlignment="false" applyProtection="false">
      <alignment horizontal="general" vertical="bottom" textRotation="0" wrapText="false" indent="0" shrinkToFit="false"/>
      <protection locked="true" hidden="false"/>
    </xf>
    <xf numFmtId="164" fontId="31" fillId="9" borderId="0" xfId="0" applyFont="true" applyBorder="false" applyAlignment="false" applyProtection="false">
      <alignment horizontal="general" vertical="bottom" textRotation="0" wrapText="false" indent="0" shrinkToFit="false"/>
      <protection locked="true" hidden="false"/>
    </xf>
    <xf numFmtId="173" fontId="31" fillId="9" borderId="0" xfId="0" applyFont="true" applyBorder="false" applyAlignment="false" applyProtection="false">
      <alignment horizontal="general" vertical="bottom" textRotation="0" wrapText="false" indent="0" shrinkToFit="false"/>
      <protection locked="true" hidden="false"/>
    </xf>
    <xf numFmtId="165" fontId="31" fillId="9" borderId="0" xfId="0" applyFont="true" applyBorder="false" applyAlignment="false" applyProtection="false">
      <alignment horizontal="general" vertical="bottom" textRotation="0" wrapText="false" indent="0" shrinkToFit="false"/>
      <protection locked="true" hidden="false"/>
    </xf>
    <xf numFmtId="169" fontId="31" fillId="9" borderId="0" xfId="0" applyFont="true" applyBorder="false" applyAlignment="false" applyProtection="false">
      <alignment horizontal="general" vertical="bottom" textRotation="0" wrapText="false" indent="0" shrinkToFit="false"/>
      <protection locked="true" hidden="false"/>
    </xf>
    <xf numFmtId="165" fontId="7" fillId="10" borderId="0" xfId="0" applyFont="true" applyBorder="false" applyAlignment="false" applyProtection="false">
      <alignment horizontal="general" vertical="bottom" textRotation="0" wrapText="false" indent="0" shrinkToFit="false"/>
      <protection locked="true" hidden="false"/>
    </xf>
    <xf numFmtId="167" fontId="7" fillId="10" borderId="0" xfId="0" applyFont="true" applyBorder="false" applyAlignment="false" applyProtection="false">
      <alignment horizontal="general" vertical="bottom" textRotation="0" wrapText="false" indent="0" shrinkToFit="false"/>
      <protection locked="true" hidden="false"/>
    </xf>
    <xf numFmtId="169" fontId="7" fillId="10" borderId="0" xfId="0" applyFont="true" applyBorder="false" applyAlignment="false" applyProtection="false">
      <alignment horizontal="general" vertical="bottom" textRotation="0" wrapText="false" indent="0" shrinkToFit="false"/>
      <protection locked="true" hidden="false"/>
    </xf>
    <xf numFmtId="164" fontId="13" fillId="11"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72" fontId="31"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5" fontId="31" fillId="0" borderId="0" xfId="0" applyFont="true" applyBorder="false" applyAlignment="false" applyProtection="false">
      <alignment horizontal="general" vertical="bottom" textRotation="0" wrapText="false" indent="0" shrinkToFit="false"/>
      <protection locked="true" hidden="false"/>
    </xf>
    <xf numFmtId="172" fontId="7" fillId="1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31" fillId="0" borderId="0" xfId="0" applyFont="true" applyBorder="false" applyAlignment="true" applyProtection="false">
      <alignment horizontal="general" vertical="top" textRotation="0" wrapText="true" indent="0" shrinkToFit="false"/>
      <protection locked="true" hidden="false"/>
    </xf>
    <xf numFmtId="168" fontId="9" fillId="0" borderId="0" xfId="0" applyFont="true" applyBorder="false" applyAlignment="true" applyProtection="false">
      <alignment horizontal="general" vertical="top" textRotation="0" wrapText="true" indent="0" shrinkToFit="false"/>
      <protection locked="true" hidden="false"/>
    </xf>
    <xf numFmtId="174" fontId="3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FFC7CE"/>
        </patternFill>
      </fill>
    </dxf>
    <dxf>
      <fill>
        <patternFill>
          <bgColor rgb="FFC6EFCE"/>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CE4D6"/>
          <bgColor rgb="FF000000"/>
        </patternFill>
      </fill>
    </dxf>
    <dxf>
      <fill>
        <patternFill patternType="solid">
          <fgColor rgb="FF595959"/>
          <bgColor rgb="FF000000"/>
        </patternFill>
      </fill>
    </dxf>
    <dxf>
      <fill>
        <patternFill>
          <bgColor rgb="FFFCE4D6"/>
        </patternFill>
      </fill>
    </dxf>
  </dxfs>
  <colors>
    <indexedColors>
      <rgbColor rgb="FF000000"/>
      <rgbColor rgb="FFFFFFFF"/>
      <rgbColor rgb="FFC00000"/>
      <rgbColor rgb="FF00FF00"/>
      <rgbColor rgb="FF0000FF"/>
      <rgbColor rgb="FFF2F2F2"/>
      <rgbColor rgb="FFFF00FF"/>
      <rgbColor rgb="FF00FFFF"/>
      <rgbColor rgb="FF800000"/>
      <rgbColor rgb="FF008000"/>
      <rgbColor rgb="FF000080"/>
      <rgbColor rgb="FF7F7F7F"/>
      <rgbColor rgb="FF800080"/>
      <rgbColor rgb="FF008080"/>
      <rgbColor rgb="FFBFBFBF"/>
      <rgbColor rgb="FF808080"/>
      <rgbColor rgb="FF8EA9DB"/>
      <rgbColor rgb="FFC0504D"/>
      <rgbColor rgb="FFFFF2CC"/>
      <rgbColor rgb="FFEEF3FA"/>
      <rgbColor rgb="FF660066"/>
      <rgbColor rgb="FFFF8080"/>
      <rgbColor rgb="FF0563C1"/>
      <rgbColor rgb="FFD9D9D9"/>
      <rgbColor rgb="FF000080"/>
      <rgbColor rgb="FFFF00FF"/>
      <rgbColor rgb="FFF7F7F7"/>
      <rgbColor rgb="FF00FFFF"/>
      <rgbColor rgb="FF800080"/>
      <rgbColor rgb="FF800000"/>
      <rgbColor rgb="FF008080"/>
      <rgbColor rgb="FF0000FF"/>
      <rgbColor rgb="FF00CCFF"/>
      <rgbColor rgb="FFE2EFDA"/>
      <rgbColor rgb="FFC6EFCE"/>
      <rgbColor rgb="FFFCE4D6"/>
      <rgbColor rgb="FFD9E1F2"/>
      <rgbColor rgb="FFEDEDED"/>
      <rgbColor rgb="FFA6A6A6"/>
      <rgbColor rgb="FFFFC7CE"/>
      <rgbColor rgb="FF4A7EBB"/>
      <rgbColor rgb="FF70AD47"/>
      <rgbColor rgb="FF9BBB59"/>
      <rgbColor rgb="FFFFC000"/>
      <rgbColor rgb="FFFF9900"/>
      <rgbColor rgb="FFFF6600"/>
      <rgbColor rgb="FF595959"/>
      <rgbColor rgb="FF878787"/>
      <rgbColor rgb="FF1F3864"/>
      <rgbColor rgb="FF4F81BD"/>
      <rgbColor rgb="FF003300"/>
      <rgbColor rgb="FF333300"/>
      <rgbColor rgb="FF993300"/>
      <rgbColor rgb="FF993366"/>
      <rgbColor rgb="FF2F5597"/>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Pendapatan &amp; EBITDA (Rp miliar; E = ilustratif)</a:t>
            </a:r>
          </a:p>
        </c:rich>
      </c:tx>
      <c:overlay val="0"/>
      <c:spPr>
        <a:noFill/>
        <a:ln w="0">
          <a:noFill/>
        </a:ln>
      </c:spPr>
    </c:title>
    <c:autoTitleDeleted val="0"/>
    <c:plotArea>
      <c:barChart>
        <c:barDir val="col"/>
        <c:grouping val="clustered"/>
        <c:varyColors val="0"/>
        <c:ser>
          <c:idx val="0"/>
          <c:order val="0"/>
          <c:tx>
            <c:strRef>
              <c:f>Dashboard!B5</c:f>
              <c:strCache>
                <c:ptCount val="1"/>
                <c:pt idx="0">
                  <c:v>Pendapatan neto</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Dashboard!$C$5:$M$5</c:f>
              <c:numCache>
                <c:formatCode>#,##0.0;\(#,##0.0\);\-</c:formatCode>
                <c:ptCount val="11"/>
                <c:pt idx="0">
                  <c:v>216.296095571</c:v>
                </c:pt>
                <c:pt idx="1">
                  <c:v>290.934356126</c:v>
                </c:pt>
                <c:pt idx="2">
                  <c:v>233.970724609</c:v>
                </c:pt>
                <c:pt idx="3">
                  <c:v>242.680799183</c:v>
                </c:pt>
                <c:pt idx="4">
                  <c:v>319.022410802</c:v>
                </c:pt>
                <c:pt idx="5">
                  <c:v>439.751605228</c:v>
                </c:pt>
                <c:pt idx="6">
                  <c:v>386.08626105001</c:v>
                </c:pt>
                <c:pt idx="7">
                  <c:v>435.982145049859</c:v>
                </c:pt>
                <c:pt idx="8">
                  <c:v>492.400365030766</c:v>
                </c:pt>
                <c:pt idx="9">
                  <c:v>556.203825795622</c:v>
                </c:pt>
                <c:pt idx="10">
                  <c:v>628.371014396434</c:v>
                </c:pt>
              </c:numCache>
            </c:numRef>
          </c:val>
        </c:ser>
        <c:ser>
          <c:idx val="1"/>
          <c:order val="1"/>
          <c:tx>
            <c:strRef>
              <c:f>Dashboard!B7</c:f>
              <c:strCache>
                <c:ptCount val="1"/>
                <c:pt idx="0">
                  <c:v>EBITDA</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Dashboard!$C$7:$M$7</c:f>
              <c:numCache>
                <c:formatCode>#,##0.0;\(#,##0.0\);\-</c:formatCode>
                <c:ptCount val="11"/>
                <c:pt idx="1">
                  <c:v>31.395271447</c:v>
                </c:pt>
                <c:pt idx="2">
                  <c:v>-37.713752308</c:v>
                </c:pt>
                <c:pt idx="3">
                  <c:v>-14.55380915</c:v>
                </c:pt>
                <c:pt idx="4">
                  <c:v>-4.411870537</c:v>
                </c:pt>
                <c:pt idx="5">
                  <c:v>96.34192359</c:v>
                </c:pt>
                <c:pt idx="6">
                  <c:v>19.3043130525005</c:v>
                </c:pt>
                <c:pt idx="7">
                  <c:v>21.799107252493</c:v>
                </c:pt>
                <c:pt idx="8">
                  <c:v>24.6200182515384</c:v>
                </c:pt>
                <c:pt idx="9">
                  <c:v>27.8101912897811</c:v>
                </c:pt>
                <c:pt idx="10">
                  <c:v>31.4185507198217</c:v>
                </c:pt>
              </c:numCache>
            </c:numRef>
          </c:val>
        </c:ser>
        <c:gapWidth val="150"/>
        <c:overlap val="0"/>
        <c:axId val="34734052"/>
        <c:axId val="80565874"/>
      </c:barChart>
      <c:catAx>
        <c:axId val="347340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0565874"/>
        <c:crosses val="autoZero"/>
        <c:auto val="1"/>
        <c:lblAlgn val="ctr"/>
        <c:lblOffset val="100"/>
        <c:noMultiLvlLbl val="0"/>
      </c:catAx>
      <c:valAx>
        <c:axId val="805658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4734052"/>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Margin EBITDA (E = ilustratif)</a:t>
            </a:r>
          </a:p>
        </c:rich>
      </c:tx>
      <c:overlay val="0"/>
      <c:spPr>
        <a:noFill/>
        <a:ln w="0">
          <a:noFill/>
        </a:ln>
      </c:spPr>
    </c:title>
    <c:autoTitleDeleted val="0"/>
    <c:plotArea>
      <c:lineChart>
        <c:grouping val="standard"/>
        <c:varyColors val="0"/>
        <c:ser>
          <c:idx val="0"/>
          <c:order val="0"/>
          <c:tx>
            <c:strRef>
              <c:f>Dashboard!B8</c:f>
              <c:strCache>
                <c:ptCount val="1"/>
                <c:pt idx="0">
                  <c:v>Margin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Dashboard!$C$8:$M$8</c:f>
              <c:numCache>
                <c:formatCode>0.0%;\(0.0%\);\-</c:formatCode>
                <c:ptCount val="11"/>
                <c:pt idx="1">
                  <c:v>0.107911873540996</c:v>
                </c:pt>
                <c:pt idx="2">
                  <c:v>-0.161190047904606</c:v>
                </c:pt>
                <c:pt idx="3">
                  <c:v>-0.0599709956411727</c:v>
                </c:pt>
                <c:pt idx="4">
                  <c:v>-0.0138293436060146</c:v>
                </c:pt>
                <c:pt idx="5">
                  <c:v>0.219082596731055</c:v>
                </c:pt>
                <c:pt idx="6">
                  <c:v>0.05</c:v>
                </c:pt>
                <c:pt idx="7">
                  <c:v>0.0500000000000001</c:v>
                </c:pt>
                <c:pt idx="8">
                  <c:v>0.0500000000000001</c:v>
                </c:pt>
                <c:pt idx="9">
                  <c:v>0.0500000000000001</c:v>
                </c:pt>
                <c:pt idx="10">
                  <c:v>0.0500000000000001</c:v>
                </c:pt>
              </c:numCache>
            </c:numRef>
          </c:val>
          <c:smooth val="1"/>
        </c:ser>
        <c:hiLowLines>
          <c:spPr>
            <a:ln w="0">
              <a:noFill/>
            </a:ln>
          </c:spPr>
        </c:hiLowLines>
        <c:marker val="0"/>
        <c:axId val="39051259"/>
        <c:axId val="56806755"/>
      </c:lineChart>
      <c:catAx>
        <c:axId val="390512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6806755"/>
        <c:crosses val="autoZero"/>
        <c:auto val="1"/>
        <c:lblAlgn val="ctr"/>
        <c:lblOffset val="100"/>
        <c:noMultiLvlLbl val="0"/>
      </c:catAx>
      <c:valAx>
        <c:axId val="5680675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9051259"/>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Arus kas (Rp miliar; E = ilustratif)</a:t>
            </a:r>
          </a:p>
        </c:rich>
      </c:tx>
      <c:overlay val="0"/>
      <c:spPr>
        <a:noFill/>
        <a:ln w="0">
          <a:noFill/>
        </a:ln>
      </c:spPr>
    </c:title>
    <c:autoTitleDeleted val="0"/>
    <c:plotArea>
      <c:barChart>
        <c:barDir val="col"/>
        <c:grouping val="clustered"/>
        <c:varyColors val="0"/>
        <c:ser>
          <c:idx val="0"/>
          <c:order val="0"/>
          <c:tx>
            <c:strRef>
              <c:f>Dashboard!B11</c:f>
              <c:strCache>
                <c:ptCount val="1"/>
                <c:pt idx="0">
                  <c:v>Arus kas operasi</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Dashboard!$C$11:$M$11</c:f>
              <c:numCache>
                <c:formatCode>#,##0.0;\(#,##0.0\);\-</c:formatCode>
                <c:ptCount val="11"/>
                <c:pt idx="0">
                  <c:v>50.30279409</c:v>
                </c:pt>
                <c:pt idx="1">
                  <c:v>47.129089642</c:v>
                </c:pt>
                <c:pt idx="2">
                  <c:v>-48.836369112</c:v>
                </c:pt>
                <c:pt idx="3">
                  <c:v>-83.033264168</c:v>
                </c:pt>
                <c:pt idx="4">
                  <c:v>-113.01118432</c:v>
                </c:pt>
                <c:pt idx="5">
                  <c:v>45.886904636</c:v>
                </c:pt>
                <c:pt idx="6">
                  <c:v>-62.8564008303635</c:v>
                </c:pt>
                <c:pt idx="7">
                  <c:v>-59.5653825494546</c:v>
                </c:pt>
                <c:pt idx="8">
                  <c:v>-58.6819492613079</c:v>
                </c:pt>
                <c:pt idx="9">
                  <c:v>-57.5122244175828</c:v>
                </c:pt>
                <c:pt idx="10">
                  <c:v>-56.0148895788947</c:v>
                </c:pt>
              </c:numCache>
            </c:numRef>
          </c:val>
        </c:ser>
        <c:ser>
          <c:idx val="1"/>
          <c:order val="1"/>
          <c:tx>
            <c:strRef>
              <c:f>Dashboard!B12</c:f>
              <c:strCache>
                <c:ptCount val="1"/>
                <c:pt idx="0">
                  <c:v>Capex</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Dashboard!$C$12:$M$12</c:f>
              <c:numCache>
                <c:formatCode>#,##0.0;\(#,##0.0\);\-</c:formatCode>
                <c:ptCount val="11"/>
                <c:pt idx="0">
                  <c:v>-522.268123814</c:v>
                </c:pt>
                <c:pt idx="1">
                  <c:v>-310.404936909</c:v>
                </c:pt>
                <c:pt idx="2">
                  <c:v>-290.453639673</c:v>
                </c:pt>
                <c:pt idx="3">
                  <c:v>-12.56201095</c:v>
                </c:pt>
                <c:pt idx="4">
                  <c:v>-226.929983578</c:v>
                </c:pt>
                <c:pt idx="5">
                  <c:v>-210.75646126</c:v>
                </c:pt>
                <c:pt idx="6">
                  <c:v>-30.8869008840008</c:v>
                </c:pt>
                <c:pt idx="7">
                  <c:v>-34.8785716039887</c:v>
                </c:pt>
                <c:pt idx="8">
                  <c:v>-39.3920292024613</c:v>
                </c:pt>
                <c:pt idx="9">
                  <c:v>-44.4963060636498</c:v>
                </c:pt>
                <c:pt idx="10">
                  <c:v>-50.2696811517147</c:v>
                </c:pt>
              </c:numCache>
            </c:numRef>
          </c:val>
        </c:ser>
        <c:ser>
          <c:idx val="2"/>
          <c:order val="2"/>
          <c:tx>
            <c:strRef>
              <c:f>Dashboard!B13</c:f>
              <c:strCache>
                <c:ptCount val="1"/>
                <c:pt idx="0">
                  <c:v>FCF setelah sewa</c:v>
                </c:pt>
              </c:strCache>
            </c:strRef>
          </c:tx>
          <c:spPr>
            <a:solidFill>
              <a:srgbClr val="9bbb59"/>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Dashboard!$C$13:$M$13</c:f>
              <c:numCache>
                <c:formatCode>#,##0.0;\(#,##0.0\);\-</c:formatCode>
                <c:ptCount val="11"/>
                <c:pt idx="0">
                  <c:v>-471.965329724</c:v>
                </c:pt>
                <c:pt idx="1">
                  <c:v>-263.275847267</c:v>
                </c:pt>
                <c:pt idx="2">
                  <c:v>-339.290008785</c:v>
                </c:pt>
                <c:pt idx="3">
                  <c:v>-95.595275118</c:v>
                </c:pt>
                <c:pt idx="4">
                  <c:v>-339.941167898</c:v>
                </c:pt>
                <c:pt idx="5">
                  <c:v>-164.869556624</c:v>
                </c:pt>
                <c:pt idx="6">
                  <c:v>-93.7433017143643</c:v>
                </c:pt>
                <c:pt idx="7">
                  <c:v>-94.4439541534433</c:v>
                </c:pt>
                <c:pt idx="8">
                  <c:v>-98.0739784637692</c:v>
                </c:pt>
                <c:pt idx="9">
                  <c:v>-102.008530481233</c:v>
                </c:pt>
                <c:pt idx="10">
                  <c:v>-106.284570730609</c:v>
                </c:pt>
              </c:numCache>
            </c:numRef>
          </c:val>
        </c:ser>
        <c:gapWidth val="150"/>
        <c:overlap val="0"/>
        <c:axId val="409305"/>
        <c:axId val="27243038"/>
      </c:barChart>
      <c:catAx>
        <c:axId val="40930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7243038"/>
        <c:crosses val="autoZero"/>
        <c:auto val="1"/>
        <c:lblAlgn val="ctr"/>
        <c:lblOffset val="100"/>
        <c:noMultiLvlLbl val="0"/>
      </c:catAx>
      <c:valAx>
        <c:axId val="2724303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09305"/>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Utang neto / EBITDA (x)</a:t>
            </a:r>
          </a:p>
        </c:rich>
      </c:tx>
      <c:overlay val="0"/>
      <c:spPr>
        <a:noFill/>
        <a:ln w="0">
          <a:noFill/>
        </a:ln>
      </c:spPr>
    </c:title>
    <c:autoTitleDeleted val="0"/>
    <c:plotArea>
      <c:lineChart>
        <c:grouping val="standard"/>
        <c:varyColors val="0"/>
        <c:ser>
          <c:idx val="0"/>
          <c:order val="0"/>
          <c:tx>
            <c:strRef>
              <c:f>Dashboard!B16</c:f>
              <c:strCache>
                <c:ptCount val="1"/>
                <c:pt idx="0">
                  <c:v>Utang neto /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Dashboard!$C$16:$M$16</c:f>
              <c:numCache>
                <c:formatCode>0.00\x;\(0.00"x)";\-</c:formatCode>
                <c:ptCount val="11"/>
                <c:pt idx="1">
                  <c:v>9.60855972725873</c:v>
                </c:pt>
                <c:pt idx="2">
                  <c:v>-11.2380560731979</c:v>
                </c:pt>
                <c:pt idx="3">
                  <c:v>-29.4597269947023</c:v>
                </c:pt>
                <c:pt idx="4">
                  <c:v>-112.287278451707</c:v>
                </c:pt>
                <c:pt idx="5">
                  <c:v>6.88621225409975</c:v>
                </c:pt>
                <c:pt idx="6">
                  <c:v>39.2230603836631</c:v>
                </c:pt>
                <c:pt idx="7">
                  <c:v>39.0666544649169</c:v>
                </c:pt>
                <c:pt idx="8">
                  <c:v>38.5739831480928</c:v>
                </c:pt>
                <c:pt idx="9">
                  <c:v>37.8170969290764</c:v>
                </c:pt>
                <c:pt idx="10">
                  <c:v>36.8567373039856</c:v>
                </c:pt>
              </c:numCache>
            </c:numRef>
          </c:val>
          <c:smooth val="1"/>
        </c:ser>
        <c:hiLowLines>
          <c:spPr>
            <a:ln w="0">
              <a:noFill/>
            </a:ln>
          </c:spPr>
        </c:hiLowLines>
        <c:marker val="0"/>
        <c:axId val="35896212"/>
        <c:axId val="87226329"/>
      </c:lineChart>
      <c:catAx>
        <c:axId val="358962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7226329"/>
        <c:crosses val="autoZero"/>
        <c:auto val="1"/>
        <c:lblAlgn val="ctr"/>
        <c:lblOffset val="100"/>
        <c:noMultiLvlLbl val="0"/>
      </c:catAx>
      <c:valAx>
        <c:axId val="8722632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5896212"/>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32</xdr:row>
      <xdr:rowOff>0</xdr:rowOff>
    </xdr:from>
    <xdr:to>
      <xdr:col>7</xdr:col>
      <xdr:colOff>583200</xdr:colOff>
      <xdr:row>47</xdr:row>
      <xdr:rowOff>56520</xdr:rowOff>
    </xdr:to>
    <xdr:pic>
      <xdr:nvPicPr>
        <xdr:cNvPr id="0" name="Image 1" descr="Picture"/>
        <xdr:cNvPicPr/>
      </xdr:nvPicPr>
      <xdr:blipFill>
        <a:blip r:embed="rId1"/>
        <a:stretch/>
      </xdr:blipFill>
      <xdr:spPr>
        <a:xfrm>
          <a:off x="106200" y="7753320"/>
          <a:ext cx="6362280" cy="2914200"/>
        </a:xfrm>
        <a:prstGeom prst="rect">
          <a:avLst/>
        </a:prstGeom>
        <a:noFill/>
        <a:ln w="0">
          <a:noFill/>
        </a:ln>
      </xdr:spPr>
    </xdr:pic>
    <xdr:clientData/>
  </xdr:twoCellAnchor>
  <xdr:twoCellAnchor editAs="oneCell">
    <xdr:from>
      <xdr:col>1</xdr:col>
      <xdr:colOff>0</xdr:colOff>
      <xdr:row>51</xdr:row>
      <xdr:rowOff>0</xdr:rowOff>
    </xdr:from>
    <xdr:to>
      <xdr:col>7</xdr:col>
      <xdr:colOff>583200</xdr:colOff>
      <xdr:row>65</xdr:row>
      <xdr:rowOff>66240</xdr:rowOff>
    </xdr:to>
    <xdr:pic>
      <xdr:nvPicPr>
        <xdr:cNvPr id="1" name="Image 2" descr="Picture"/>
        <xdr:cNvPicPr/>
      </xdr:nvPicPr>
      <xdr:blipFill>
        <a:blip r:embed="rId2"/>
        <a:stretch/>
      </xdr:blipFill>
      <xdr:spPr>
        <a:xfrm>
          <a:off x="106200" y="11496600"/>
          <a:ext cx="6362280" cy="2733480"/>
        </a:xfrm>
        <a:prstGeom prst="rect">
          <a:avLst/>
        </a:prstGeom>
        <a:noFill/>
        <a:ln w="0">
          <a:noFill/>
        </a:ln>
      </xdr:spPr>
    </xdr:pic>
    <xdr:clientData/>
  </xdr:twoCellAnchor>
  <xdr:twoCellAnchor editAs="oneCell">
    <xdr:from>
      <xdr:col>1</xdr:col>
      <xdr:colOff>0</xdr:colOff>
      <xdr:row>69</xdr:row>
      <xdr:rowOff>0</xdr:rowOff>
    </xdr:from>
    <xdr:to>
      <xdr:col>7</xdr:col>
      <xdr:colOff>583200</xdr:colOff>
      <xdr:row>82</xdr:row>
      <xdr:rowOff>85320</xdr:rowOff>
    </xdr:to>
    <xdr:pic>
      <xdr:nvPicPr>
        <xdr:cNvPr id="2" name="Image 3" descr="Picture"/>
        <xdr:cNvPicPr/>
      </xdr:nvPicPr>
      <xdr:blipFill>
        <a:blip r:embed="rId3"/>
        <a:stretch/>
      </xdr:blipFill>
      <xdr:spPr>
        <a:xfrm>
          <a:off x="106200" y="14906520"/>
          <a:ext cx="6362280" cy="2561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160920</xdr:rowOff>
    </xdr:from>
    <xdr:to>
      <xdr:col>5</xdr:col>
      <xdr:colOff>120600</xdr:colOff>
      <xdr:row>35</xdr:row>
      <xdr:rowOff>2880</xdr:rowOff>
    </xdr:to>
    <xdr:graphicFrame>
      <xdr:nvGraphicFramePr>
        <xdr:cNvPr id="3" name="Chart 1"/>
        <xdr:cNvGraphicFramePr/>
      </xdr:nvGraphicFramePr>
      <xdr:xfrm>
        <a:off x="211320" y="4000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160920</xdr:rowOff>
    </xdr:from>
    <xdr:to>
      <xdr:col>13</xdr:col>
      <xdr:colOff>684720</xdr:colOff>
      <xdr:row>35</xdr:row>
      <xdr:rowOff>2880</xdr:rowOff>
    </xdr:to>
    <xdr:graphicFrame>
      <xdr:nvGraphicFramePr>
        <xdr:cNvPr id="4" name="Chart 2"/>
        <xdr:cNvGraphicFramePr/>
      </xdr:nvGraphicFramePr>
      <xdr:xfrm>
        <a:off x="7542000" y="400068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160560</xdr:rowOff>
    </xdr:from>
    <xdr:to>
      <xdr:col>5</xdr:col>
      <xdr:colOff>120600</xdr:colOff>
      <xdr:row>51</xdr:row>
      <xdr:rowOff>2880</xdr:rowOff>
    </xdr:to>
    <xdr:graphicFrame>
      <xdr:nvGraphicFramePr>
        <xdr:cNvPr id="5" name="Chart 3"/>
        <xdr:cNvGraphicFramePr/>
      </xdr:nvGraphicFramePr>
      <xdr:xfrm>
        <a:off x="211320" y="7048440"/>
        <a:ext cx="575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36</xdr:row>
      <xdr:rowOff>160560</xdr:rowOff>
    </xdr:from>
    <xdr:to>
      <xdr:col>13</xdr:col>
      <xdr:colOff>684720</xdr:colOff>
      <xdr:row>51</xdr:row>
      <xdr:rowOff>2880</xdr:rowOff>
    </xdr:to>
    <xdr:graphicFrame>
      <xdr:nvGraphicFramePr>
        <xdr:cNvPr id="6" name="Chart 4"/>
        <xdr:cNvGraphicFramePr/>
      </xdr:nvGraphicFramePr>
      <xdr:xfrm>
        <a:off x="7542000" y="7048440"/>
        <a:ext cx="575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CARE_model_pro.xlsx" TargetMode="External"/><Relationship Id="rId2" Type="http://schemas.openxmlformats.org/officeDocument/2006/relationships/hyperlink" Target="../../CARE_model_pro.xlsx" TargetMode="External"/><Relationship Id="rId3" Type="http://schemas.openxmlformats.org/officeDocument/2006/relationships/hyperlink" Target="../../CARE_model_pro.xlsx" TargetMode="External"/><Relationship Id="rId4" Type="http://schemas.openxmlformats.org/officeDocument/2006/relationships/hyperlink" Target="../../CARE_model_pro.xlsx" TargetMode="External"/><Relationship Id="rId5" Type="http://schemas.openxmlformats.org/officeDocument/2006/relationships/hyperlink" Target="../../CARE_model_pro.xlsx" TargetMode="External"/><Relationship Id="rId6" Type="http://schemas.openxmlformats.org/officeDocument/2006/relationships/hyperlink" Target="../../CARE_model_pro.xlsx" TargetMode="External"/><Relationship Id="rId7" Type="http://schemas.openxmlformats.org/officeDocument/2006/relationships/hyperlink" Target="../../CARE_model_pro.xlsx" TargetMode="External"/><Relationship Id="rId8" Type="http://schemas.openxmlformats.org/officeDocument/2006/relationships/hyperlink" Target="../../CARE_model_pro.xlsx" TargetMode="External"/><Relationship Id="rId9" Type="http://schemas.openxmlformats.org/officeDocument/2006/relationships/hyperlink" Target="../../CARE_model_pro.xlsx" TargetMode="External"/><Relationship Id="rId10" Type="http://schemas.openxmlformats.org/officeDocument/2006/relationships/hyperlink" Target="../../CARE_model_pro.xlsx" TargetMode="External"/><Relationship Id="rId11" Type="http://schemas.openxmlformats.org/officeDocument/2006/relationships/hyperlink" Target="../../CARE_model_pro.xlsx" TargetMode="External"/><Relationship Id="rId12" Type="http://schemas.openxmlformats.org/officeDocument/2006/relationships/hyperlink" Target="../../CARE_model_pro.xlsx" TargetMode="External"/><Relationship Id="rId13" Type="http://schemas.openxmlformats.org/officeDocument/2006/relationships/hyperlink" Target="../../CARE_model_pro.xlsx" TargetMode="External"/><Relationship Id="rId14" Type="http://schemas.openxmlformats.org/officeDocument/2006/relationships/hyperlink" Target="../../CARE_model_pro.xlsx" TargetMode="External"/><Relationship Id="rId15" Type="http://schemas.openxmlformats.org/officeDocument/2006/relationships/hyperlink" Target="../../CARE_model_pro.xlsx" TargetMode="External"/><Relationship Id="rId16" Type="http://schemas.openxmlformats.org/officeDocument/2006/relationships/hyperlink" Target="../../CARE_model_pro.xlsx" TargetMode="External"/><Relationship Id="rId17" Type="http://schemas.openxmlformats.org/officeDocument/2006/relationships/hyperlink" Target="../../CARE_model_pro.xlsx" TargetMode="External"/><Relationship Id="rId18" Type="http://schemas.openxmlformats.org/officeDocument/2006/relationships/hyperlink" Target="../../CARE_model_pro.xlsx" TargetMode="External"/><Relationship Id="rId19" Type="http://schemas.openxmlformats.org/officeDocument/2006/relationships/hyperlink" Target="../../CARE_model_pro.xlsx" TargetMode="External"/><Relationship Id="rId20" Type="http://schemas.openxmlformats.org/officeDocument/2006/relationships/hyperlink" Target="../../CARE_model_pro.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2.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drawing" Target="../drawings/drawing3.xml"/>
</Relationships>
</file>

<file path=xl/worksheets/_rels/sheet1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2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78" hidden="false" customHeight="true" outlineLevel="0" collapsed="false">
      <c r="B6" s="4" t="s">
        <v>3</v>
      </c>
      <c r="C6" s="5" t="s">
        <v>4</v>
      </c>
    </row>
    <row r="7" customFormat="false" ht="25.5" hidden="false" customHeight="true" outlineLevel="0" collapsed="false">
      <c r="B7" s="4" t="s">
        <v>5</v>
      </c>
      <c r="C7" s="5" t="s">
        <v>6</v>
      </c>
    </row>
    <row r="8" customFormat="false" ht="39" hidden="false" customHeight="true" outlineLevel="0" collapsed="false">
      <c r="B8" s="4" t="s">
        <v>7</v>
      </c>
      <c r="C8" s="5" t="s">
        <v>8</v>
      </c>
    </row>
    <row r="10" customFormat="false" ht="15" hidden="false" customHeight="false" outlineLevel="0" collapsed="false">
      <c r="B10" s="6" t="s">
        <v>9</v>
      </c>
      <c r="C10" s="7"/>
    </row>
    <row r="11" customFormat="false" ht="64.5" hidden="false" customHeight="true" outlineLevel="0" collapsed="false">
      <c r="B11" s="8" t="s">
        <v>10</v>
      </c>
      <c r="C11" s="9" t="s">
        <v>11</v>
      </c>
    </row>
    <row r="12" customFormat="false" ht="15" hidden="false" customHeight="true" outlineLevel="0" collapsed="false">
      <c r="B12" s="8" t="s">
        <v>12</v>
      </c>
      <c r="C12" s="9" t="s">
        <v>13</v>
      </c>
    </row>
    <row r="13" customFormat="false" ht="15" hidden="false" customHeight="true" outlineLevel="0" collapsed="false">
      <c r="B13" s="8" t="s">
        <v>14</v>
      </c>
      <c r="C13" s="9" t="s">
        <v>15</v>
      </c>
    </row>
    <row r="14" customFormat="false" ht="15" hidden="false" customHeight="true" outlineLevel="0" collapsed="false">
      <c r="B14" s="8" t="s">
        <v>16</v>
      </c>
      <c r="C14" s="9" t="s">
        <v>17</v>
      </c>
    </row>
    <row r="16" customFormat="false" ht="15" hidden="false" customHeight="false" outlineLevel="0" collapsed="false">
      <c r="B16" s="6" t="s">
        <v>18</v>
      </c>
      <c r="C16" s="7"/>
    </row>
    <row r="17" customFormat="false" ht="15" hidden="false" customHeight="true" outlineLevel="0" collapsed="false">
      <c r="B17" s="8" t="s">
        <v>19</v>
      </c>
      <c r="C17" s="9" t="s">
        <v>20</v>
      </c>
    </row>
    <row r="18" customFormat="false" ht="25.5" hidden="false" customHeight="true" outlineLevel="0" collapsed="false">
      <c r="B18" s="8" t="s">
        <v>21</v>
      </c>
      <c r="C18" s="9" t="s">
        <v>22</v>
      </c>
    </row>
    <row r="20" customFormat="false" ht="15" hidden="false" customHeight="false" outlineLevel="0" collapsed="false">
      <c r="B20" s="3" t="s">
        <v>23</v>
      </c>
    </row>
    <row r="21" customFormat="false" ht="15" hidden="false" customHeight="true" outlineLevel="0" collapsed="false">
      <c r="B21" s="4" t="s">
        <v>24</v>
      </c>
      <c r="C21" s="10" t="s">
        <v>25</v>
      </c>
    </row>
    <row r="22" customFormat="false" ht="15" hidden="false" customHeight="true" outlineLevel="0" collapsed="false">
      <c r="B22" s="4" t="s">
        <v>26</v>
      </c>
      <c r="C22" s="10" t="s">
        <v>27</v>
      </c>
    </row>
    <row r="23" customFormat="false" ht="15" hidden="false" customHeight="true" outlineLevel="0" collapsed="false">
      <c r="B23" s="4" t="s">
        <v>28</v>
      </c>
      <c r="C23" s="10" t="s">
        <v>29</v>
      </c>
    </row>
    <row r="24" customFormat="false" ht="15" hidden="false" customHeight="true" outlineLevel="0" collapsed="false">
      <c r="B24" s="4" t="s">
        <v>30</v>
      </c>
      <c r="C24" s="11" t="str">
        <f aca="false">Rekonsiliasi!$C$3</f>
        <v>SEMUA 354 CEK SESUAI EKSPEKTASI</v>
      </c>
    </row>
    <row r="25" customFormat="false" ht="15" hidden="false" customHeight="true" outlineLevel="0" collapsed="false">
      <c r="B25" s="4" t="s">
        <v>31</v>
      </c>
      <c r="C25" s="11" t="str">
        <f aca="false">Asumsi!C4</f>
        <v>Base</v>
      </c>
    </row>
    <row r="26" customFormat="false" ht="15" hidden="false" customHeight="true" outlineLevel="0" collapsed="false">
      <c r="B26" s="4" t="s">
        <v>32</v>
      </c>
      <c r="C26" s="10" t="s">
        <v>33</v>
      </c>
    </row>
    <row r="28" customFormat="false" ht="15" hidden="false" customHeight="false" outlineLevel="0" collapsed="false">
      <c r="B28" s="3" t="s">
        <v>34</v>
      </c>
    </row>
    <row r="29" customFormat="false" ht="15" hidden="false" customHeight="false" outlineLevel="0" collapsed="false">
      <c r="B29" s="12" t="s">
        <v>35</v>
      </c>
      <c r="C29" s="13" t="s">
        <v>36</v>
      </c>
    </row>
    <row r="30" customFormat="false" ht="15" hidden="false" customHeight="false" outlineLevel="0" collapsed="false">
      <c r="B30" s="12" t="s">
        <v>37</v>
      </c>
      <c r="C30" s="13" t="s">
        <v>38</v>
      </c>
    </row>
    <row r="31" customFormat="false" ht="15" hidden="false" customHeight="false" outlineLevel="0" collapsed="false">
      <c r="B31" s="12" t="s">
        <v>39</v>
      </c>
      <c r="C31" s="13" t="s">
        <v>40</v>
      </c>
    </row>
    <row r="32" customFormat="false" ht="15" hidden="false" customHeight="false" outlineLevel="0" collapsed="false">
      <c r="B32" s="12" t="s">
        <v>41</v>
      </c>
      <c r="C32" s="13" t="s">
        <v>42</v>
      </c>
    </row>
    <row r="33" customFormat="false" ht="15" hidden="false" customHeight="false" outlineLevel="0" collapsed="false">
      <c r="B33" s="12" t="s">
        <v>43</v>
      </c>
      <c r="C33" s="13" t="s">
        <v>44</v>
      </c>
    </row>
    <row r="34" customFormat="false" ht="15" hidden="false" customHeight="false" outlineLevel="0" collapsed="false">
      <c r="B34" s="12" t="s">
        <v>45</v>
      </c>
      <c r="C34" s="13" t="s">
        <v>46</v>
      </c>
    </row>
    <row r="35" customFormat="false" ht="15" hidden="false" customHeight="false" outlineLevel="0" collapsed="false">
      <c r="B35" s="12" t="s">
        <v>47</v>
      </c>
      <c r="C35" s="13" t="s">
        <v>48</v>
      </c>
    </row>
    <row r="36" customFormat="false" ht="15" hidden="false" customHeight="false" outlineLevel="0" collapsed="false">
      <c r="B36" s="12" t="s">
        <v>49</v>
      </c>
      <c r="C36" s="13" t="s">
        <v>50</v>
      </c>
    </row>
    <row r="37" customFormat="false" ht="15" hidden="false" customHeight="false" outlineLevel="0" collapsed="false">
      <c r="B37" s="12" t="s">
        <v>51</v>
      </c>
      <c r="C37" s="13" t="s">
        <v>52</v>
      </c>
    </row>
    <row r="38" customFormat="false" ht="15" hidden="false" customHeight="false" outlineLevel="0" collapsed="false">
      <c r="B38" s="12" t="s">
        <v>53</v>
      </c>
      <c r="C38" s="13" t="s">
        <v>54</v>
      </c>
    </row>
    <row r="39" customFormat="false" ht="15" hidden="false" customHeight="false" outlineLevel="0" collapsed="false">
      <c r="B39" s="12" t="s">
        <v>55</v>
      </c>
      <c r="C39" s="13" t="s">
        <v>56</v>
      </c>
    </row>
    <row r="40" customFormat="false" ht="15" hidden="false" customHeight="false" outlineLevel="0" collapsed="false">
      <c r="B40" s="12" t="s">
        <v>57</v>
      </c>
      <c r="C40" s="13" t="s">
        <v>58</v>
      </c>
    </row>
    <row r="41" customFormat="false" ht="15" hidden="false" customHeight="false" outlineLevel="0" collapsed="false">
      <c r="B41" s="12" t="s">
        <v>59</v>
      </c>
      <c r="C41" s="13" t="s">
        <v>60</v>
      </c>
    </row>
    <row r="42" customFormat="false" ht="15" hidden="false" customHeight="false" outlineLevel="0" collapsed="false">
      <c r="B42" s="12" t="s">
        <v>61</v>
      </c>
      <c r="C42" s="13" t="s">
        <v>62</v>
      </c>
    </row>
    <row r="43" customFormat="false" ht="15" hidden="false" customHeight="false" outlineLevel="0" collapsed="false">
      <c r="B43" s="12" t="s">
        <v>63</v>
      </c>
      <c r="C43" s="13" t="s">
        <v>64</v>
      </c>
    </row>
    <row r="44" customFormat="false" ht="15" hidden="false" customHeight="false" outlineLevel="0" collapsed="false">
      <c r="B44" s="12" t="s">
        <v>65</v>
      </c>
      <c r="C44" s="13" t="s">
        <v>66</v>
      </c>
    </row>
    <row r="45" customFormat="false" ht="15" hidden="false" customHeight="false" outlineLevel="0" collapsed="false">
      <c r="B45" s="12" t="s">
        <v>67</v>
      </c>
      <c r="C45" s="13" t="s">
        <v>68</v>
      </c>
    </row>
    <row r="46" customFormat="false" ht="15" hidden="false" customHeight="false" outlineLevel="0" collapsed="false">
      <c r="B46" s="12" t="s">
        <v>69</v>
      </c>
      <c r="C46" s="13" t="s">
        <v>70</v>
      </c>
    </row>
    <row r="47" customFormat="false" ht="15" hidden="false" customHeight="false" outlineLevel="0" collapsed="false">
      <c r="B47" s="12" t="s">
        <v>71</v>
      </c>
      <c r="C47" s="13" t="s">
        <v>72</v>
      </c>
    </row>
    <row r="48" customFormat="false" ht="15" hidden="false" customHeight="false" outlineLevel="0" collapsed="false">
      <c r="B48" s="12" t="s">
        <v>73</v>
      </c>
      <c r="C48" s="13" t="s">
        <v>74</v>
      </c>
    </row>
  </sheetData>
  <hyperlinks>
    <hyperlink ref="B29" r:id="rId1" location="'Cover'!A1" display="Cover"/>
    <hyperlink ref="B30" r:id="rId2" location="'Panduan'!A1" display="Panduan"/>
    <hyperlink ref="B31" r:id="rId3" location="'Ringkasan'!A1" display="Ringkasan"/>
    <hyperlink ref="B32" r:id="rId4" location="'Dashboard'!A1" display="Dashboard"/>
    <hyperlink ref="B33" r:id="rId5" location="'Asumsi'!A1" display="Asumsi"/>
    <hyperlink ref="B34" r:id="rId6" location="'IS_Proj'!A1" display="IS_Proj"/>
    <hyperlink ref="B35" r:id="rId7" location="'BS_Proj'!A1" display="BS_Proj"/>
    <hyperlink ref="B36" r:id="rId8" location="'CF_Proj'!A1" display="CF_Proj"/>
    <hyperlink ref="B37" r:id="rId9" location="'Schedules_Proj'!A1" display="Schedules_Proj"/>
    <hyperlink ref="B38" r:id="rId10" location="'DCF_Template'!A1" display="DCF_Template"/>
    <hyperlink ref="B39" r:id="rId11" location="'Peer'!A1" display="Peer"/>
    <hyperlink ref="B40" r:id="rId12" location="'IS'!A1" display="IS"/>
    <hyperlink ref="B41" r:id="rId13" location="'BS'!A1" display="BS"/>
    <hyperlink ref="B42" r:id="rId14" location="'CF'!A1" display="CF"/>
    <hyperlink ref="B43" r:id="rId15" location="'Schedules'!A1" display="Schedules"/>
    <hyperlink ref="B44" r:id="rId16" location="'Rasio'!A1" display="Rasio"/>
    <hyperlink ref="B45" r:id="rId17" location="'Rekonsiliasi'!A1" display="Rekonsiliasi"/>
    <hyperlink ref="B46" r:id="rId18" location="'Temuan'!A1" display="Temuan"/>
    <hyperlink ref="B47" r:id="rId19" location="'Database'!A1" display="Database"/>
    <hyperlink ref="B48" r:id="rId20" location="'Data_Log'!A1" display="Data_Log"/>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C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10"/>
  </cols>
  <sheetData>
    <row r="1" customFormat="false" ht="17.35" hidden="false" customHeight="false" outlineLevel="0" collapsed="false">
      <c r="A1" s="14" t="s">
        <v>75</v>
      </c>
    </row>
    <row r="2" customFormat="false" ht="15" hidden="false" customHeight="false" outlineLevel="0" collapsed="false">
      <c r="A2" s="15" t="s">
        <v>76</v>
      </c>
    </row>
    <row r="4" customFormat="false" ht="15" hidden="false" customHeight="false" outlineLevel="0" collapsed="false">
      <c r="A4" s="16"/>
      <c r="B4" s="17" t="s">
        <v>77</v>
      </c>
      <c r="C4" s="16"/>
    </row>
    <row r="5" customFormat="false" ht="25.5" hidden="false" customHeight="true" outlineLevel="0" collapsed="false">
      <c r="B5" s="4" t="s">
        <v>78</v>
      </c>
      <c r="C5" s="10" t="s">
        <v>79</v>
      </c>
    </row>
    <row r="6" customFormat="false" ht="39" hidden="false" customHeight="true" outlineLevel="0" collapsed="false">
      <c r="B6" s="4" t="s">
        <v>80</v>
      </c>
      <c r="C6" s="10" t="s">
        <v>81</v>
      </c>
    </row>
    <row r="7" customFormat="false" ht="25.5" hidden="false" customHeight="true" outlineLevel="0" collapsed="false">
      <c r="B7" s="4" t="s">
        <v>82</v>
      </c>
      <c r="C7" s="10" t="s">
        <v>83</v>
      </c>
    </row>
    <row r="8" customFormat="false" ht="25.5" hidden="false" customHeight="true" outlineLevel="0" collapsed="false">
      <c r="B8" s="4" t="s">
        <v>84</v>
      </c>
      <c r="C8" s="10" t="s">
        <v>85</v>
      </c>
    </row>
    <row r="9" customFormat="false" ht="25.5" hidden="false" customHeight="true" outlineLevel="0" collapsed="false">
      <c r="B9" s="4" t="s">
        <v>86</v>
      </c>
      <c r="C9" s="10" t="s">
        <v>87</v>
      </c>
    </row>
    <row r="10" customFormat="false" ht="25.5" hidden="false" customHeight="true" outlineLevel="0" collapsed="false">
      <c r="B10" s="4" t="s">
        <v>88</v>
      </c>
      <c r="C10" s="10" t="s">
        <v>89</v>
      </c>
    </row>
    <row r="11" customFormat="false" ht="25.5" hidden="false" customHeight="true" outlineLevel="0" collapsed="false">
      <c r="B11" s="4" t="s">
        <v>90</v>
      </c>
      <c r="C11" s="10" t="s">
        <v>91</v>
      </c>
    </row>
    <row r="13" customFormat="false" ht="15" hidden="false" customHeight="false" outlineLevel="0" collapsed="false">
      <c r="A13" s="16"/>
      <c r="B13" s="17" t="s">
        <v>92</v>
      </c>
      <c r="C13" s="16"/>
    </row>
    <row r="14" customFormat="false" ht="15" hidden="false" customHeight="true" outlineLevel="0" collapsed="false">
      <c r="B14" s="4" t="s">
        <v>93</v>
      </c>
      <c r="C14" s="10" t="s">
        <v>94</v>
      </c>
    </row>
    <row r="15" customFormat="false" ht="15" hidden="false" customHeight="true" outlineLevel="0" collapsed="false">
      <c r="B15" s="4" t="s">
        <v>95</v>
      </c>
      <c r="C15" s="10" t="s">
        <v>96</v>
      </c>
    </row>
    <row r="16" customFormat="false" ht="15" hidden="false" customHeight="true" outlineLevel="0" collapsed="false">
      <c r="B16" s="4" t="s">
        <v>97</v>
      </c>
      <c r="C16" s="10" t="s">
        <v>98</v>
      </c>
    </row>
    <row r="17" customFormat="false" ht="15" hidden="false" customHeight="true" outlineLevel="0" collapsed="false">
      <c r="B17" s="4" t="s">
        <v>99</v>
      </c>
      <c r="C17" s="10" t="s">
        <v>100</v>
      </c>
    </row>
    <row r="18" customFormat="false" ht="15" hidden="false" customHeight="true" outlineLevel="0" collapsed="false">
      <c r="B18" s="4" t="s">
        <v>101</v>
      </c>
      <c r="C18" s="10" t="s">
        <v>102</v>
      </c>
    </row>
    <row r="19" customFormat="false" ht="15" hidden="false" customHeight="true" outlineLevel="0" collapsed="false">
      <c r="B19" s="4" t="s">
        <v>103</v>
      </c>
      <c r="C19" s="10" t="s">
        <v>104</v>
      </c>
    </row>
    <row r="21" customFormat="false" ht="15" hidden="false" customHeight="false" outlineLevel="0" collapsed="false">
      <c r="A21" s="16"/>
      <c r="B21" s="17" t="s">
        <v>105</v>
      </c>
      <c r="C21" s="16"/>
    </row>
    <row r="22" customFormat="false" ht="25.5" hidden="false" customHeight="true" outlineLevel="0" collapsed="false">
      <c r="B22" s="4" t="s">
        <v>106</v>
      </c>
      <c r="C22" s="10" t="s">
        <v>107</v>
      </c>
    </row>
    <row r="23" customFormat="false" ht="25.5" hidden="false" customHeight="true" outlineLevel="0" collapsed="false">
      <c r="B23" s="4" t="s">
        <v>108</v>
      </c>
      <c r="C23" s="10" t="s">
        <v>109</v>
      </c>
    </row>
    <row r="24" customFormat="false" ht="25.5" hidden="false" customHeight="true" outlineLevel="0" collapsed="false">
      <c r="B24" s="4" t="s">
        <v>110</v>
      </c>
      <c r="C24" s="10" t="s">
        <v>111</v>
      </c>
    </row>
    <row r="25" customFormat="false" ht="15" hidden="false" customHeight="true" outlineLevel="0" collapsed="false">
      <c r="B25" s="4" t="s">
        <v>26</v>
      </c>
      <c r="C25" s="10" t="s">
        <v>112</v>
      </c>
    </row>
    <row r="27" customFormat="false" ht="15" hidden="false" customHeight="false" outlineLevel="0" collapsed="false">
      <c r="A27" s="16"/>
      <c r="B27" s="17" t="s">
        <v>113</v>
      </c>
      <c r="C27" s="16"/>
    </row>
    <row r="28" customFormat="false" ht="15" hidden="false" customHeight="true" outlineLevel="0" collapsed="false">
      <c r="B28" s="4" t="s">
        <v>35</v>
      </c>
      <c r="C28" s="10" t="s">
        <v>36</v>
      </c>
    </row>
    <row r="29" customFormat="false" ht="15" hidden="false" customHeight="true" outlineLevel="0" collapsed="false">
      <c r="B29" s="4" t="s">
        <v>37</v>
      </c>
      <c r="C29" s="10" t="s">
        <v>38</v>
      </c>
    </row>
    <row r="30" customFormat="false" ht="15" hidden="false" customHeight="true" outlineLevel="0" collapsed="false">
      <c r="B30" s="4" t="s">
        <v>39</v>
      </c>
      <c r="C30" s="10" t="s">
        <v>40</v>
      </c>
    </row>
    <row r="31" customFormat="false" ht="15" hidden="false" customHeight="true" outlineLevel="0" collapsed="false">
      <c r="B31" s="4" t="s">
        <v>41</v>
      </c>
      <c r="C31" s="10" t="s">
        <v>42</v>
      </c>
    </row>
    <row r="32" customFormat="false" ht="15" hidden="false" customHeight="true" outlineLevel="0" collapsed="false">
      <c r="B32" s="4" t="s">
        <v>43</v>
      </c>
      <c r="C32" s="10" t="s">
        <v>44</v>
      </c>
    </row>
    <row r="33" customFormat="false" ht="15" hidden="false" customHeight="true" outlineLevel="0" collapsed="false">
      <c r="B33" s="4" t="s">
        <v>45</v>
      </c>
      <c r="C33" s="10" t="s">
        <v>46</v>
      </c>
    </row>
    <row r="34" customFormat="false" ht="15" hidden="false" customHeight="true" outlineLevel="0" collapsed="false">
      <c r="B34" s="4" t="s">
        <v>47</v>
      </c>
      <c r="C34" s="10" t="s">
        <v>48</v>
      </c>
    </row>
    <row r="35" customFormat="false" ht="15" hidden="false" customHeight="true" outlineLevel="0" collapsed="false">
      <c r="B35" s="4" t="s">
        <v>49</v>
      </c>
      <c r="C35" s="10" t="s">
        <v>50</v>
      </c>
    </row>
    <row r="36" customFormat="false" ht="15" hidden="false" customHeight="true" outlineLevel="0" collapsed="false">
      <c r="B36" s="4" t="s">
        <v>51</v>
      </c>
      <c r="C36" s="10" t="s">
        <v>52</v>
      </c>
    </row>
    <row r="37" customFormat="false" ht="15" hidden="false" customHeight="true" outlineLevel="0" collapsed="false">
      <c r="B37" s="4" t="s">
        <v>53</v>
      </c>
      <c r="C37" s="10" t="s">
        <v>54</v>
      </c>
    </row>
    <row r="38" customFormat="false" ht="15" hidden="false" customHeight="true" outlineLevel="0" collapsed="false">
      <c r="B38" s="4" t="s">
        <v>55</v>
      </c>
      <c r="C38" s="10" t="s">
        <v>56</v>
      </c>
    </row>
    <row r="39" customFormat="false" ht="15" hidden="false" customHeight="true" outlineLevel="0" collapsed="false">
      <c r="B39" s="4" t="s">
        <v>57</v>
      </c>
      <c r="C39" s="10" t="s">
        <v>58</v>
      </c>
    </row>
    <row r="40" customFormat="false" ht="15" hidden="false" customHeight="true" outlineLevel="0" collapsed="false">
      <c r="B40" s="4" t="s">
        <v>59</v>
      </c>
      <c r="C40" s="10" t="s">
        <v>60</v>
      </c>
    </row>
    <row r="41" customFormat="false" ht="15" hidden="false" customHeight="true" outlineLevel="0" collapsed="false">
      <c r="B41" s="4" t="s">
        <v>61</v>
      </c>
      <c r="C41" s="10" t="s">
        <v>62</v>
      </c>
    </row>
    <row r="42" customFormat="false" ht="25.5" hidden="false" customHeight="true" outlineLevel="0" collapsed="false">
      <c r="B42" s="4" t="s">
        <v>63</v>
      </c>
      <c r="C42" s="10" t="s">
        <v>64</v>
      </c>
    </row>
    <row r="43" customFormat="false" ht="15" hidden="false" customHeight="true" outlineLevel="0" collapsed="false">
      <c r="B43" s="4" t="s">
        <v>65</v>
      </c>
      <c r="C43" s="10" t="s">
        <v>66</v>
      </c>
    </row>
    <row r="44" customFormat="false" ht="15" hidden="false" customHeight="true" outlineLevel="0" collapsed="false">
      <c r="B44" s="4" t="s">
        <v>67</v>
      </c>
      <c r="C44" s="10" t="s">
        <v>68</v>
      </c>
    </row>
    <row r="45" customFormat="false" ht="15" hidden="false" customHeight="true" outlineLevel="0" collapsed="false">
      <c r="B45" s="4" t="s">
        <v>69</v>
      </c>
      <c r="C45" s="10" t="s">
        <v>70</v>
      </c>
    </row>
    <row r="46" customFormat="false" ht="15" hidden="false" customHeight="true" outlineLevel="0" collapsed="false">
      <c r="B46" s="4" t="s">
        <v>71</v>
      </c>
      <c r="C46" s="10" t="s">
        <v>72</v>
      </c>
    </row>
    <row r="47" customFormat="false" ht="15" hidden="false" customHeight="true" outlineLevel="0" collapsed="false">
      <c r="B47" s="4" t="s">
        <v>73</v>
      </c>
      <c r="C47" s="10" t="s">
        <v>74</v>
      </c>
    </row>
    <row r="49" customFormat="false" ht="15" hidden="false" customHeight="false" outlineLevel="0" collapsed="false">
      <c r="A49" s="16"/>
      <c r="B49" s="17" t="s">
        <v>114</v>
      </c>
      <c r="C49" s="16"/>
    </row>
    <row r="50" customFormat="false" ht="15" hidden="false" customHeight="true" outlineLevel="0" collapsed="false">
      <c r="B50" s="4" t="s">
        <v>115</v>
      </c>
      <c r="C50" s="10" t="s">
        <v>116</v>
      </c>
    </row>
    <row r="51" customFormat="false" ht="25.5" hidden="false" customHeight="true" outlineLevel="0" collapsed="false">
      <c r="B51" s="4" t="s">
        <v>5</v>
      </c>
      <c r="C51" s="10" t="s">
        <v>117</v>
      </c>
    </row>
    <row r="52" customFormat="false" ht="78" hidden="false" customHeight="true" outlineLevel="0" collapsed="false">
      <c r="B52" s="4" t="s">
        <v>118</v>
      </c>
      <c r="C52" s="10" t="s">
        <v>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H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51"/>
    <col collapsed="false" customWidth="true" hidden="false" outlineLevel="0" max="2" min="2" style="0" width="31"/>
    <col collapsed="false" customWidth="true" hidden="false" outlineLevel="0" max="8" min="3" style="0" width="10.2"/>
    <col collapsed="false" customWidth="true" hidden="false" outlineLevel="0" max="9" min="9" style="0" width="1.51"/>
  </cols>
  <sheetData>
    <row r="1" customFormat="false" ht="21.75" hidden="false" customHeight="true" outlineLevel="0" collapsed="false">
      <c r="B1" s="18" t="s">
        <v>119</v>
      </c>
      <c r="C1" s="18"/>
      <c r="D1" s="18"/>
      <c r="E1" s="18"/>
      <c r="F1" s="18"/>
      <c r="G1" s="18"/>
      <c r="H1" s="18"/>
    </row>
    <row r="2" customFormat="false" ht="12.75" hidden="false" customHeight="true" outlineLevel="0" collapsed="false">
      <c r="B2" s="19" t="s">
        <v>120</v>
      </c>
      <c r="C2" s="19"/>
      <c r="D2" s="19"/>
      <c r="E2" s="19"/>
      <c r="F2" s="19"/>
      <c r="G2" s="19"/>
      <c r="H2" s="19"/>
    </row>
    <row r="4" customFormat="false" ht="72" hidden="false" customHeight="true" outlineLevel="0" collapsed="false">
      <c r="B4" s="20" t="s">
        <v>121</v>
      </c>
      <c r="C4" s="20"/>
      <c r="D4" s="20"/>
      <c r="E4" s="20"/>
      <c r="F4" s="20"/>
      <c r="G4" s="20"/>
      <c r="H4" s="20"/>
    </row>
    <row r="6" customFormat="false" ht="18" hidden="false" customHeight="true" outlineLevel="0" collapsed="false">
      <c r="B6" s="21" t="s">
        <v>122</v>
      </c>
      <c r="C6" s="21"/>
      <c r="D6" s="21"/>
      <c r="E6" s="21"/>
      <c r="F6" s="21"/>
      <c r="G6" s="21"/>
      <c r="H6" s="21"/>
    </row>
    <row r="7" customFormat="false" ht="27.75" hidden="false" customHeight="true" outlineLevel="0" collapsed="false">
      <c r="B7" s="22" t="s">
        <v>123</v>
      </c>
      <c r="C7" s="22"/>
      <c r="D7" s="22"/>
      <c r="E7" s="22"/>
      <c r="F7" s="22"/>
      <c r="G7" s="22"/>
      <c r="H7" s="22"/>
    </row>
    <row r="8" customFormat="false" ht="27.75" hidden="false" customHeight="true" outlineLevel="0" collapsed="false">
      <c r="B8" s="22" t="s">
        <v>124</v>
      </c>
      <c r="C8" s="22"/>
      <c r="D8" s="22"/>
      <c r="E8" s="22"/>
      <c r="F8" s="22"/>
      <c r="G8" s="22"/>
      <c r="H8" s="22"/>
    </row>
    <row r="9" customFormat="false" ht="27.75" hidden="false" customHeight="true" outlineLevel="0" collapsed="false">
      <c r="B9" s="22" t="s">
        <v>125</v>
      </c>
      <c r="C9" s="22"/>
      <c r="D9" s="22"/>
      <c r="E9" s="22"/>
      <c r="F9" s="22"/>
      <c r="G9" s="22"/>
      <c r="H9" s="22"/>
    </row>
    <row r="10" customFormat="false" ht="27.75" hidden="false" customHeight="true" outlineLevel="0" collapsed="false">
      <c r="B10" s="22" t="s">
        <v>126</v>
      </c>
      <c r="C10" s="22"/>
      <c r="D10" s="22"/>
      <c r="E10" s="22"/>
      <c r="F10" s="22"/>
      <c r="G10" s="22"/>
      <c r="H10" s="22"/>
    </row>
    <row r="11" customFormat="false" ht="27.75" hidden="false" customHeight="true" outlineLevel="0" collapsed="false">
      <c r="B11" s="22" t="s">
        <v>127</v>
      </c>
      <c r="C11" s="22"/>
      <c r="D11" s="22"/>
      <c r="E11" s="22"/>
      <c r="F11" s="22"/>
      <c r="G11" s="22"/>
      <c r="H11" s="22"/>
    </row>
    <row r="13" customFormat="false" ht="15.75" hidden="false" customHeight="true" outlineLevel="0" collapsed="false">
      <c r="B13" s="23" t="s">
        <v>128</v>
      </c>
      <c r="C13" s="23"/>
      <c r="D13" s="23"/>
      <c r="E13" s="23"/>
      <c r="F13" s="23"/>
      <c r="G13" s="23"/>
      <c r="H13" s="23"/>
    </row>
    <row r="14" customFormat="false" ht="15" hidden="false" customHeight="false" outlineLevel="0" collapsed="false">
      <c r="B14" s="24" t="s">
        <v>129</v>
      </c>
      <c r="C14" s="25" t="s">
        <v>130</v>
      </c>
      <c r="D14" s="25" t="s">
        <v>131</v>
      </c>
      <c r="E14" s="25" t="s">
        <v>132</v>
      </c>
      <c r="F14" s="25" t="s">
        <v>133</v>
      </c>
      <c r="G14" s="25" t="s">
        <v>134</v>
      </c>
      <c r="H14" s="25" t="s">
        <v>135</v>
      </c>
    </row>
    <row r="15" customFormat="false" ht="13.5" hidden="false" customHeight="true" outlineLevel="0" collapsed="false">
      <c r="B15" s="26" t="s">
        <v>136</v>
      </c>
      <c r="C15" s="27" t="n">
        <f aca="false">IS!C6/1000000000</f>
        <v>216.296095571</v>
      </c>
      <c r="D15" s="27" t="n">
        <f aca="false">IS!D6/1000000000</f>
        <v>290.934356126</v>
      </c>
      <c r="E15" s="27" t="n">
        <f aca="false">IS!E6/1000000000</f>
        <v>233.970724609</v>
      </c>
      <c r="F15" s="27" t="n">
        <f aca="false">IS!F6/1000000000</f>
        <v>242.680799183</v>
      </c>
      <c r="G15" s="27" t="n">
        <f aca="false">IS!G6/1000000000</f>
        <v>319.022410802</v>
      </c>
      <c r="H15" s="27" t="n">
        <f aca="false">IS!H6/1000000000</f>
        <v>439.751605228</v>
      </c>
    </row>
    <row r="16" customFormat="false" ht="13.5" hidden="false" customHeight="true" outlineLevel="0" collapsed="false">
      <c r="B16" s="28" t="s">
        <v>137</v>
      </c>
      <c r="C16" s="29"/>
      <c r="D16" s="29" t="n">
        <f aca="false">Rasio!D6</f>
        <v>0.345074470059029</v>
      </c>
      <c r="E16" s="29" t="n">
        <f aca="false">Rasio!E6</f>
        <v>-0.195795478662306</v>
      </c>
      <c r="F16" s="29" t="n">
        <f aca="false">Rasio!F6</f>
        <v>0.0372271983537933</v>
      </c>
      <c r="G16" s="29" t="n">
        <f aca="false">Rasio!G6</f>
        <v>0.314576232961193</v>
      </c>
      <c r="H16" s="29" t="n">
        <f aca="false">Rasio!H6</f>
        <v>0.378434838237525</v>
      </c>
    </row>
    <row r="17" customFormat="false" ht="13.5" hidden="false" customHeight="true" outlineLevel="0" collapsed="false">
      <c r="B17" s="26" t="s">
        <v>138</v>
      </c>
      <c r="C17" s="30" t="s">
        <v>139</v>
      </c>
      <c r="D17" s="30" t="n">
        <f aca="false">Rasio!D25</f>
        <v>0.300827548867532</v>
      </c>
      <c r="E17" s="30" t="n">
        <f aca="false">Rasio!E25</f>
        <v>0.33346318916381</v>
      </c>
      <c r="F17" s="30" t="n">
        <f aca="false">Rasio!F25</f>
        <v>0.272314214657611</v>
      </c>
      <c r="G17" s="30" t="n">
        <f aca="false">Rasio!G25</f>
        <v>0.277010894425371</v>
      </c>
      <c r="H17" s="30" t="n">
        <f aca="false">Rasio!H25</f>
        <v>0.302232162607019</v>
      </c>
    </row>
    <row r="18" customFormat="false" ht="13.5" hidden="false" customHeight="true" outlineLevel="0" collapsed="false">
      <c r="B18" s="31" t="s">
        <v>106</v>
      </c>
      <c r="C18" s="32" t="s">
        <v>139</v>
      </c>
      <c r="D18" s="32" t="n">
        <f aca="false">Rasio!D15/1000000000</f>
        <v>31.395271447</v>
      </c>
      <c r="E18" s="32" t="n">
        <f aca="false">Rasio!E15/1000000000</f>
        <v>-37.713752308</v>
      </c>
      <c r="F18" s="32" t="n">
        <f aca="false">Rasio!F15/1000000000</f>
        <v>-14.55380915</v>
      </c>
      <c r="G18" s="32" t="n">
        <f aca="false">Rasio!G15/1000000000</f>
        <v>-4.411870537</v>
      </c>
      <c r="H18" s="32" t="n">
        <f aca="false">Rasio!H15/1000000000</f>
        <v>96.34192359</v>
      </c>
    </row>
    <row r="19" customFormat="false" ht="13.5" hidden="false" customHeight="true" outlineLevel="0" collapsed="false">
      <c r="B19" s="33" t="s">
        <v>140</v>
      </c>
      <c r="C19" s="30" t="s">
        <v>139</v>
      </c>
      <c r="D19" s="30" t="n">
        <f aca="false">Rasio!D16</f>
        <v>0.107911873540996</v>
      </c>
      <c r="E19" s="30" t="n">
        <f aca="false">Rasio!E16</f>
        <v>-0.161190047904606</v>
      </c>
      <c r="F19" s="30" t="n">
        <f aca="false">Rasio!F16</f>
        <v>-0.0599709956411727</v>
      </c>
      <c r="G19" s="30" t="n">
        <f aca="false">Rasio!G16</f>
        <v>-0.0138293436060146</v>
      </c>
      <c r="H19" s="30" t="n">
        <f aca="false">Rasio!H16</f>
        <v>0.219082596731055</v>
      </c>
    </row>
    <row r="20" customFormat="false" ht="13.5" hidden="false" customHeight="true" outlineLevel="0" collapsed="false">
      <c r="B20" s="31" t="s">
        <v>141</v>
      </c>
      <c r="C20" s="32" t="n">
        <f aca="false">IS!C17/1000000000</f>
        <v>14.167951136</v>
      </c>
      <c r="D20" s="32" t="n">
        <f aca="false">IS!D17/1000000000</f>
        <v>6.173624777</v>
      </c>
      <c r="E20" s="32" t="n">
        <f aca="false">IS!E17/1000000000</f>
        <v>-93.604422306</v>
      </c>
      <c r="F20" s="32" t="n">
        <f aca="false">IS!F17/1000000000</f>
        <v>-110.688861895</v>
      </c>
      <c r="G20" s="32" t="n">
        <f aca="false">IS!G17/1000000000</f>
        <v>-79.917220104</v>
      </c>
      <c r="H20" s="32" t="n">
        <f aca="false">IS!H17/1000000000</f>
        <v>5.145566121</v>
      </c>
    </row>
    <row r="21" customFormat="false" ht="13.5" hidden="false" customHeight="true" outlineLevel="0" collapsed="false">
      <c r="B21" s="26" t="s">
        <v>142</v>
      </c>
      <c r="C21" s="27" t="n">
        <f aca="false">IS!C24/1000000000</f>
        <v>14.312842564</v>
      </c>
      <c r="D21" s="27" t="n">
        <f aca="false">IS!D24/1000000000</f>
        <v>6.099193871</v>
      </c>
      <c r="E21" s="27" t="n">
        <f aca="false">IS!E24/1000000000</f>
        <v>-93.543896993</v>
      </c>
      <c r="F21" s="27" t="n">
        <f aca="false">IS!F24/1000000000</f>
        <v>-110.919788807</v>
      </c>
      <c r="G21" s="27" t="n">
        <f aca="false">IS!G24/1000000000</f>
        <v>-80.309181321</v>
      </c>
      <c r="H21" s="27" t="n">
        <f aca="false">IS!H24/1000000000</f>
        <v>4.952718308</v>
      </c>
    </row>
    <row r="22" customFormat="false" ht="13.5" hidden="false" customHeight="true" outlineLevel="0" collapsed="false">
      <c r="B22" s="28" t="s">
        <v>143</v>
      </c>
      <c r="C22" s="29" t="n">
        <f aca="false">Rasio!C22</f>
        <v>-0.0102267029727283</v>
      </c>
      <c r="D22" s="29" t="n">
        <f aca="false">Rasio!D22</f>
        <v>0.0120562730467997</v>
      </c>
      <c r="E22" s="29" t="n">
        <f aca="false">Rasio!E22</f>
        <v>0.000646607409232634</v>
      </c>
      <c r="F22" s="29" t="n">
        <f aca="false">Rasio!F22</f>
        <v>-0.00208627054291206</v>
      </c>
      <c r="G22" s="29" t="n">
        <f aca="false">Rasio!G22</f>
        <v>-0.00490459023086542</v>
      </c>
      <c r="H22" s="29" t="n">
        <f aca="false">Rasio!H22</f>
        <v>0.0374784442498859</v>
      </c>
    </row>
    <row r="23" customFormat="false" ht="13.5" hidden="false" customHeight="true" outlineLevel="0" collapsed="false">
      <c r="B23" s="26" t="s">
        <v>144</v>
      </c>
      <c r="C23" s="30"/>
      <c r="D23" s="30" t="n">
        <f aca="false">Rasio!D19</f>
        <v>0.00185186406227988</v>
      </c>
      <c r="E23" s="30" t="n">
        <f aca="false">Rasio!E19</f>
        <v>-0.0287687550609852</v>
      </c>
      <c r="F23" s="30" t="n">
        <f aca="false">Rasio!F19</f>
        <v>-0.035199179915096</v>
      </c>
      <c r="G23" s="30" t="n">
        <f aca="false">Rasio!G19</f>
        <v>-0.0262737369263451</v>
      </c>
      <c r="H23" s="30" t="n">
        <f aca="false">Rasio!H19</f>
        <v>0.00164029602251767</v>
      </c>
    </row>
    <row r="24" customFormat="false" ht="13.5" hidden="false" customHeight="true" outlineLevel="0" collapsed="false">
      <c r="B24" s="31" t="s">
        <v>145</v>
      </c>
      <c r="C24" s="32" t="n">
        <f aca="false">CF!C14/1000000000</f>
        <v>50.30279409</v>
      </c>
      <c r="D24" s="32" t="n">
        <f aca="false">CF!D14/1000000000</f>
        <v>47.129089642</v>
      </c>
      <c r="E24" s="32" t="n">
        <f aca="false">CF!E14/1000000000</f>
        <v>-48.836369112</v>
      </c>
      <c r="F24" s="32" t="n">
        <f aca="false">CF!F14/1000000000</f>
        <v>-83.033264168</v>
      </c>
      <c r="G24" s="32" t="n">
        <f aca="false">CF!G14/1000000000</f>
        <v>-113.01118432</v>
      </c>
      <c r="H24" s="32" t="n">
        <f aca="false">CF!H14/1000000000</f>
        <v>45.886904636</v>
      </c>
    </row>
    <row r="25" customFormat="false" ht="13.5" hidden="false" customHeight="true" outlineLevel="0" collapsed="false">
      <c r="B25" s="26" t="s">
        <v>146</v>
      </c>
      <c r="C25" s="27" t="n">
        <f aca="false">Rasio!C39/1000000000</f>
        <v>522.268123814</v>
      </c>
      <c r="D25" s="27" t="n">
        <f aca="false">Rasio!D39/1000000000</f>
        <v>310.404936909</v>
      </c>
      <c r="E25" s="27" t="n">
        <f aca="false">Rasio!E39/1000000000</f>
        <v>290.453639673</v>
      </c>
      <c r="F25" s="27" t="n">
        <f aca="false">Rasio!F39/1000000000</f>
        <v>12.56201095</v>
      </c>
      <c r="G25" s="27" t="n">
        <f aca="false">Rasio!G39/1000000000</f>
        <v>226.929983578</v>
      </c>
      <c r="H25" s="27" t="n">
        <f aca="false">Rasio!H39/1000000000</f>
        <v>210.75646126</v>
      </c>
    </row>
    <row r="26" customFormat="false" ht="13.5" hidden="false" customHeight="true" outlineLevel="0" collapsed="false">
      <c r="B26" s="31" t="s">
        <v>147</v>
      </c>
      <c r="C26" s="32" t="n">
        <f aca="false">Rasio!C34/1000000000</f>
        <v>-409.316952934</v>
      </c>
      <c r="D26" s="32" t="n">
        <f aca="false">Rasio!D34/1000000000</f>
        <v>301.663340852</v>
      </c>
      <c r="E26" s="32" t="n">
        <f aca="false">Rasio!E34/1000000000</f>
        <v>423.829263168</v>
      </c>
      <c r="F26" s="32" t="n">
        <f aca="false">Rasio!F34/1000000000</f>
        <v>428.751244292</v>
      </c>
      <c r="G26" s="32" t="n">
        <f aca="false">Rasio!G34/1000000000</f>
        <v>495.396935481</v>
      </c>
      <c r="H26" s="32" t="n">
        <f aca="false">Rasio!H34/1000000000</f>
        <v>663.430934809</v>
      </c>
    </row>
    <row r="27" customFormat="false" ht="13.5" hidden="false" customHeight="true" outlineLevel="0" collapsed="false">
      <c r="B27" s="33" t="s">
        <v>148</v>
      </c>
      <c r="C27" s="34" t="s">
        <v>139</v>
      </c>
      <c r="D27" s="34" t="n">
        <f aca="false">Rasio!D36</f>
        <v>9.60855972725873</v>
      </c>
      <c r="E27" s="34" t="n">
        <f aca="false">Rasio!E36</f>
        <v>-11.2380560731979</v>
      </c>
      <c r="F27" s="34" t="n">
        <f aca="false">Rasio!F36</f>
        <v>-29.4597269947023</v>
      </c>
      <c r="G27" s="34" t="n">
        <f aca="false">Rasio!G36</f>
        <v>-112.287278451707</v>
      </c>
      <c r="H27" s="34" t="n">
        <f aca="false">Rasio!H36</f>
        <v>6.88621225409975</v>
      </c>
    </row>
    <row r="28" customFormat="false" ht="13.5" hidden="false" customHeight="true" outlineLevel="0" collapsed="false">
      <c r="B28" s="31" t="s">
        <v>149</v>
      </c>
      <c r="C28" s="32" t="n">
        <f aca="false">Rasio!C27</f>
        <v>78.1577016375028</v>
      </c>
      <c r="D28" s="32" t="n">
        <f aca="false">Rasio!D27</f>
        <v>54.4719962651353</v>
      </c>
      <c r="E28" s="32" t="n">
        <f aca="false">Rasio!E27</f>
        <v>30.4109910035356</v>
      </c>
      <c r="F28" s="32" t="n">
        <f aca="false">Rasio!F27</f>
        <v>44.764497762277</v>
      </c>
      <c r="G28" s="32" t="n">
        <f aca="false">Rasio!G27</f>
        <v>44.9491665624392</v>
      </c>
      <c r="H28" s="32" t="n">
        <f aca="false">Rasio!H27</f>
        <v>26.9046687003695</v>
      </c>
    </row>
    <row r="29" customFormat="false" ht="13.5" hidden="false" customHeight="true" outlineLevel="0" collapsed="false">
      <c r="B29" s="26" t="s">
        <v>150</v>
      </c>
      <c r="C29" s="30" t="n">
        <f aca="false">Rasio!C21</f>
        <v>-0.0271984888467246</v>
      </c>
      <c r="D29" s="30" t="n">
        <f aca="false">Rasio!D21</f>
        <v>0.0511660783821087</v>
      </c>
      <c r="E29" s="30" t="n">
        <f aca="false">Rasio!E21</f>
        <v>-0.00309125458644539</v>
      </c>
      <c r="F29" s="30" t="n">
        <f aca="false">Rasio!F21</f>
        <v>-0.0430258191187451</v>
      </c>
      <c r="G29" s="30" t="n">
        <f aca="false">Rasio!G21</f>
        <v>-0.054817047912923</v>
      </c>
      <c r="H29" s="30" t="n">
        <f aca="false">Rasio!H21</f>
        <v>0.362488854265026</v>
      </c>
    </row>
    <row r="30" customFormat="false" ht="36" hidden="false" customHeight="true" outlineLevel="0" collapsed="false">
      <c r="B30" s="35" t="s">
        <v>151</v>
      </c>
      <c r="C30" s="35"/>
      <c r="D30" s="35"/>
      <c r="E30" s="35"/>
      <c r="F30" s="35"/>
      <c r="G30" s="35"/>
      <c r="H30" s="35"/>
    </row>
    <row r="32" customFormat="false" ht="18" hidden="false" customHeight="true" outlineLevel="0" collapsed="false">
      <c r="B32" s="21" t="s">
        <v>152</v>
      </c>
      <c r="C32" s="21"/>
      <c r="D32" s="21"/>
      <c r="E32" s="21"/>
      <c r="F32" s="21"/>
      <c r="G32" s="21"/>
      <c r="H32" s="21"/>
    </row>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24.75" hidden="false" customHeight="true" outlineLevel="0" collapsed="false">
      <c r="B50" s="35" t="s">
        <v>153</v>
      </c>
      <c r="C50" s="35"/>
      <c r="D50" s="35"/>
      <c r="E50" s="35"/>
      <c r="F50" s="35"/>
      <c r="G50" s="35"/>
      <c r="H50" s="35"/>
    </row>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3.5" hidden="false" customHeight="true" outlineLevel="0" collapsed="false">
      <c r="B68" s="35" t="s">
        <v>154</v>
      </c>
      <c r="C68" s="35"/>
      <c r="D68" s="35"/>
      <c r="E68" s="35"/>
      <c r="F68" s="35"/>
      <c r="G68" s="35"/>
      <c r="H68" s="35"/>
    </row>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6" customFormat="false" ht="18" hidden="false" customHeight="true" outlineLevel="0" collapsed="false">
      <c r="B86" s="21" t="s">
        <v>155</v>
      </c>
      <c r="C86" s="21"/>
      <c r="D86" s="21"/>
      <c r="E86" s="21"/>
      <c r="F86" s="21"/>
      <c r="G86" s="21"/>
      <c r="H86" s="21"/>
    </row>
    <row r="87" customFormat="false" ht="27" hidden="false" customHeight="true" outlineLevel="0" collapsed="false">
      <c r="B87" s="36" t="s">
        <v>156</v>
      </c>
      <c r="C87" s="36"/>
      <c r="D87" s="36"/>
      <c r="E87" s="36"/>
      <c r="F87" s="36"/>
      <c r="G87" s="36"/>
      <c r="H87" s="36"/>
    </row>
    <row r="88" customFormat="false" ht="27" hidden="false" customHeight="true" outlineLevel="0" collapsed="false">
      <c r="B88" s="36" t="s">
        <v>157</v>
      </c>
      <c r="C88" s="36"/>
      <c r="D88" s="36"/>
      <c r="E88" s="36"/>
      <c r="F88" s="36"/>
      <c r="G88" s="36"/>
      <c r="H88" s="36"/>
    </row>
    <row r="89" customFormat="false" ht="27" hidden="false" customHeight="true" outlineLevel="0" collapsed="false">
      <c r="B89" s="36" t="s">
        <v>158</v>
      </c>
      <c r="C89" s="36"/>
      <c r="D89" s="36"/>
      <c r="E89" s="36"/>
      <c r="F89" s="36"/>
      <c r="G89" s="36"/>
      <c r="H89" s="36"/>
    </row>
    <row r="90" customFormat="false" ht="27" hidden="false" customHeight="true" outlineLevel="0" collapsed="false">
      <c r="B90" s="36" t="s">
        <v>159</v>
      </c>
      <c r="C90" s="36"/>
      <c r="D90" s="36"/>
      <c r="E90" s="36"/>
      <c r="F90" s="36"/>
      <c r="G90" s="36"/>
      <c r="H90" s="36"/>
    </row>
    <row r="91" customFormat="false" ht="27" hidden="false" customHeight="true" outlineLevel="0" collapsed="false">
      <c r="B91" s="36" t="s">
        <v>160</v>
      </c>
      <c r="C91" s="36"/>
      <c r="D91" s="36"/>
      <c r="E91" s="36"/>
      <c r="F91" s="36"/>
      <c r="G91" s="36"/>
      <c r="H91" s="36"/>
    </row>
    <row r="92" customFormat="false" ht="24.75" hidden="false" customHeight="true" outlineLevel="0" collapsed="false">
      <c r="B92" s="35" t="s">
        <v>161</v>
      </c>
      <c r="C92" s="35"/>
      <c r="D92" s="35"/>
      <c r="E92" s="35"/>
      <c r="F92" s="35"/>
      <c r="G92" s="35"/>
      <c r="H92" s="35"/>
    </row>
    <row r="94" customFormat="false" ht="18" hidden="false" customHeight="true" outlineLevel="0" collapsed="false">
      <c r="B94" s="37" t="s">
        <v>162</v>
      </c>
      <c r="C94" s="37"/>
      <c r="D94" s="37"/>
      <c r="E94" s="37"/>
      <c r="F94" s="37"/>
      <c r="G94" s="37"/>
      <c r="H94" s="37"/>
    </row>
    <row r="95" customFormat="false" ht="63" hidden="false" customHeight="true" outlineLevel="0" collapsed="false">
      <c r="B95" s="38" t="s">
        <v>11</v>
      </c>
      <c r="C95" s="38"/>
      <c r="D95" s="38"/>
      <c r="E95" s="38"/>
      <c r="F95" s="38"/>
      <c r="G95" s="38"/>
      <c r="H95" s="38"/>
    </row>
    <row r="97" customFormat="false" ht="18" hidden="false" customHeight="true" outlineLevel="0" collapsed="false">
      <c r="B97" s="21" t="s">
        <v>163</v>
      </c>
      <c r="C97" s="21"/>
      <c r="D97" s="21"/>
      <c r="E97" s="21"/>
      <c r="F97" s="21"/>
      <c r="G97" s="21"/>
      <c r="H97" s="21"/>
    </row>
    <row r="98" customFormat="false" ht="25.5" hidden="false" customHeight="true" outlineLevel="0" collapsed="false">
      <c r="B98" s="39" t="s">
        <v>164</v>
      </c>
      <c r="C98" s="39"/>
      <c r="D98" s="39"/>
      <c r="E98" s="39"/>
      <c r="F98" s="39"/>
      <c r="G98" s="39"/>
      <c r="H98" s="39"/>
    </row>
    <row r="99" customFormat="false" ht="37.5" hidden="false" customHeight="true" outlineLevel="0" collapsed="false">
      <c r="B99" s="39" t="s">
        <v>165</v>
      </c>
      <c r="C99" s="39"/>
      <c r="D99" s="39"/>
      <c r="E99" s="39"/>
      <c r="F99" s="39"/>
      <c r="G99" s="39"/>
      <c r="H99" s="39"/>
    </row>
    <row r="101" customFormat="false" ht="18" hidden="false" customHeight="true" outlineLevel="0" collapsed="false">
      <c r="B101" s="40" t="s">
        <v>166</v>
      </c>
      <c r="C101" s="40"/>
      <c r="D101" s="40"/>
      <c r="E101" s="40"/>
      <c r="F101" s="40"/>
      <c r="G101" s="40"/>
      <c r="H101" s="40"/>
    </row>
    <row r="102" customFormat="false" ht="87" hidden="false" customHeight="true" outlineLevel="0" collapsed="false">
      <c r="B102" s="41" t="s">
        <v>167</v>
      </c>
      <c r="C102" s="41"/>
      <c r="D102" s="41"/>
      <c r="E102" s="41"/>
      <c r="F102" s="41"/>
      <c r="G102" s="41"/>
      <c r="H102" s="41"/>
    </row>
  </sheetData>
  <mergeCells count="28">
    <mergeCell ref="B1:H1"/>
    <mergeCell ref="B2:H2"/>
    <mergeCell ref="B4:H4"/>
    <mergeCell ref="B6:H6"/>
    <mergeCell ref="B7:H7"/>
    <mergeCell ref="B8:H8"/>
    <mergeCell ref="B9:H9"/>
    <mergeCell ref="B10:H10"/>
    <mergeCell ref="B11:H11"/>
    <mergeCell ref="B13:H13"/>
    <mergeCell ref="B30:H30"/>
    <mergeCell ref="B32:H32"/>
    <mergeCell ref="B50:H50"/>
    <mergeCell ref="B68:H68"/>
    <mergeCell ref="B86:H86"/>
    <mergeCell ref="B87:H87"/>
    <mergeCell ref="B88:H88"/>
    <mergeCell ref="B89:H89"/>
    <mergeCell ref="B90:H90"/>
    <mergeCell ref="B91:H91"/>
    <mergeCell ref="B92:H92"/>
    <mergeCell ref="B94:H94"/>
    <mergeCell ref="B95:H95"/>
    <mergeCell ref="B97:H97"/>
    <mergeCell ref="B98:H98"/>
    <mergeCell ref="B99:H99"/>
    <mergeCell ref="B101:H101"/>
    <mergeCell ref="B102:H102"/>
  </mergeCells>
  <printOptions headings="false" gridLines="false" gridLinesSet="true" horizontalCentered="true" verticalCentered="false"/>
  <pageMargins left="0.4" right="0.4" top="0.55" bottom="0.55" header="0.25" footer="0.25"/>
  <pageSetup paperSize="9" scale="100" fitToWidth="1" fitToHeight="0" pageOrder="downThenOver" orientation="portrait" blackAndWhite="false" draft="false" cellComments="none" horizontalDpi="300" verticalDpi="300" copies="1"/>
  <headerFooter differentFirst="false" differentOddEven="false">
    <oddHeader>&amp;L&amp;8 PT Metro Healthcare Indonesia Tbk (CARE)&amp;R&amp;8 © Ryant Gabein Pasaribu | CC BY 4.0 | CARE-FY2025-v1.0-21844D70 | Bukan rekomendasi investasi</oddHeader>
    <oddFooter>&amp;L&amp;8 Sumber: LK audited CARE 2020-2025&amp;C&amp;8 Hal &amp;P dari &amp;N&amp;R&amp;8 &amp;D</oddFooter>
  </headerFooter>
  <rowBreaks count="3" manualBreakCount="3">
    <brk id="31" man="true" max="16383" min="0"/>
    <brk id="69" man="true" max="16383" min="0"/>
    <brk id="93"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N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13" min="3" style="0" width="12"/>
    <col collapsed="false" customWidth="true" hidden="false" outlineLevel="0" max="14" min="14" style="0" width="40"/>
  </cols>
  <sheetData>
    <row r="1" customFormat="false" ht="17.35" hidden="false" customHeight="false" outlineLevel="0" collapsed="false">
      <c r="A1" s="14" t="s">
        <v>168</v>
      </c>
    </row>
    <row r="2" customFormat="false" ht="15" hidden="false" customHeight="false" outlineLevel="0" collapsed="false">
      <c r="A2" s="15" t="s">
        <v>169</v>
      </c>
    </row>
    <row r="3" customFormat="false" ht="15" hidden="false" customHeight="false" outlineLevel="0" collapsed="false">
      <c r="B3" s="4" t="s">
        <v>170</v>
      </c>
      <c r="C3" s="42" t="str">
        <f aca="false">Asumsi!C4</f>
        <v>Base</v>
      </c>
    </row>
    <row r="4" customFormat="false" ht="15" hidden="false" customHeight="false" outlineLevel="0" collapsed="false">
      <c r="A4" s="25"/>
      <c r="B4" s="25" t="s">
        <v>129</v>
      </c>
      <c r="C4" s="25" t="s">
        <v>130</v>
      </c>
      <c r="D4" s="25" t="s">
        <v>131</v>
      </c>
      <c r="E4" s="25" t="s">
        <v>132</v>
      </c>
      <c r="F4" s="25" t="s">
        <v>133</v>
      </c>
      <c r="G4" s="25" t="s">
        <v>134</v>
      </c>
      <c r="H4" s="25" t="s">
        <v>135</v>
      </c>
      <c r="I4" s="43" t="s">
        <v>171</v>
      </c>
      <c r="J4" s="43" t="s">
        <v>172</v>
      </c>
      <c r="K4" s="43" t="s">
        <v>173</v>
      </c>
      <c r="L4" s="43" t="s">
        <v>174</v>
      </c>
      <c r="M4" s="43" t="s">
        <v>175</v>
      </c>
      <c r="N4" s="25" t="s">
        <v>176</v>
      </c>
    </row>
    <row r="5" customFormat="false" ht="15" hidden="false" customHeight="false" outlineLevel="0" collapsed="false">
      <c r="B5" s="13" t="s">
        <v>136</v>
      </c>
      <c r="C5" s="44" t="n">
        <f aca="false">IS_Proj!C9/1000000000</f>
        <v>216.296095571</v>
      </c>
      <c r="D5" s="44" t="n">
        <f aca="false">IS_Proj!D9/1000000000</f>
        <v>290.934356126</v>
      </c>
      <c r="E5" s="44" t="n">
        <f aca="false">IS_Proj!E9/1000000000</f>
        <v>233.970724609</v>
      </c>
      <c r="F5" s="44" t="n">
        <f aca="false">IS_Proj!F9/1000000000</f>
        <v>242.680799183</v>
      </c>
      <c r="G5" s="44" t="n">
        <f aca="false">IS_Proj!G9/1000000000</f>
        <v>319.022410802</v>
      </c>
      <c r="H5" s="44" t="n">
        <f aca="false">IS_Proj!H9/1000000000</f>
        <v>439.751605228</v>
      </c>
      <c r="I5" s="45" t="n">
        <f aca="false">IS_Proj!I9/1000000000</f>
        <v>386.08626105001</v>
      </c>
      <c r="J5" s="45" t="n">
        <f aca="false">IS_Proj!J9/1000000000</f>
        <v>435.982145049859</v>
      </c>
      <c r="K5" s="45" t="n">
        <f aca="false">IS_Proj!K9/1000000000</f>
        <v>492.400365030766</v>
      </c>
      <c r="L5" s="45" t="n">
        <f aca="false">IS_Proj!L9/1000000000</f>
        <v>556.203825795622</v>
      </c>
      <c r="M5" s="45" t="n">
        <f aca="false">IS_Proj!M9/1000000000</f>
        <v>628.371014396434</v>
      </c>
    </row>
    <row r="6" customFormat="false" ht="15" hidden="false" customHeight="false" outlineLevel="0" collapsed="false">
      <c r="B6" s="13" t="s">
        <v>177</v>
      </c>
      <c r="C6" s="46"/>
      <c r="D6" s="46" t="n">
        <f aca="false">IS_Proj!D10</f>
        <v>0.345074470059029</v>
      </c>
      <c r="E6" s="46" t="n">
        <f aca="false">IS_Proj!E10</f>
        <v>-0.195795478662306</v>
      </c>
      <c r="F6" s="46" t="n">
        <f aca="false">IS_Proj!F10</f>
        <v>0.0372271983537933</v>
      </c>
      <c r="G6" s="46" t="n">
        <f aca="false">IS_Proj!G10</f>
        <v>0.314576232961193</v>
      </c>
      <c r="H6" s="46" t="n">
        <f aca="false">IS_Proj!H10</f>
        <v>0.378434838237525</v>
      </c>
      <c r="I6" s="47" t="n">
        <f aca="false">IS_Proj!I10</f>
        <v>-0.12203558449813</v>
      </c>
      <c r="J6" s="47" t="n">
        <f aca="false">IS_Proj!J10</f>
        <v>0.12923506747987</v>
      </c>
      <c r="K6" s="47" t="n">
        <f aca="false">IS_Proj!K10</f>
        <v>0.129404886464916</v>
      </c>
      <c r="L6" s="47" t="n">
        <f aca="false">IS_Proj!L10</f>
        <v>0.129576388029015</v>
      </c>
      <c r="M6" s="47" t="n">
        <f aca="false">IS_Proj!M10</f>
        <v>0.129749536507738</v>
      </c>
    </row>
    <row r="7" customFormat="false" ht="15" hidden="false" customHeight="false" outlineLevel="0" collapsed="false">
      <c r="B7" s="13" t="s">
        <v>106</v>
      </c>
      <c r="C7" s="44"/>
      <c r="D7" s="44" t="n">
        <f aca="false">IS_Proj!D15/1000000000</f>
        <v>31.395271447</v>
      </c>
      <c r="E7" s="44" t="n">
        <f aca="false">IS_Proj!E15/1000000000</f>
        <v>-37.713752308</v>
      </c>
      <c r="F7" s="44" t="n">
        <f aca="false">IS_Proj!F15/1000000000</f>
        <v>-14.55380915</v>
      </c>
      <c r="G7" s="44" t="n">
        <f aca="false">IS_Proj!G15/1000000000</f>
        <v>-4.411870537</v>
      </c>
      <c r="H7" s="44" t="n">
        <f aca="false">IS_Proj!H15/1000000000</f>
        <v>96.34192359</v>
      </c>
      <c r="I7" s="45" t="n">
        <f aca="false">IS_Proj!I15/1000000000</f>
        <v>19.3043130525005</v>
      </c>
      <c r="J7" s="45" t="n">
        <f aca="false">IS_Proj!J15/1000000000</f>
        <v>21.799107252493</v>
      </c>
      <c r="K7" s="45" t="n">
        <f aca="false">IS_Proj!K15/1000000000</f>
        <v>24.6200182515384</v>
      </c>
      <c r="L7" s="45" t="n">
        <f aca="false">IS_Proj!L15/1000000000</f>
        <v>27.8101912897811</v>
      </c>
      <c r="M7" s="45" t="n">
        <f aca="false">IS_Proj!M15/1000000000</f>
        <v>31.4185507198217</v>
      </c>
    </row>
    <row r="8" customFormat="false" ht="15" hidden="false" customHeight="false" outlineLevel="0" collapsed="false">
      <c r="B8" s="13" t="s">
        <v>178</v>
      </c>
      <c r="C8" s="46"/>
      <c r="D8" s="46" t="n">
        <f aca="false">IS_Proj!D29</f>
        <v>0.107911873540996</v>
      </c>
      <c r="E8" s="46" t="n">
        <f aca="false">IS_Proj!E29</f>
        <v>-0.161190047904606</v>
      </c>
      <c r="F8" s="46" t="n">
        <f aca="false">IS_Proj!F29</f>
        <v>-0.0599709956411727</v>
      </c>
      <c r="G8" s="46" t="n">
        <f aca="false">IS_Proj!G29</f>
        <v>-0.0138293436060146</v>
      </c>
      <c r="H8" s="46" t="n">
        <f aca="false">IS_Proj!H29</f>
        <v>0.219082596731055</v>
      </c>
      <c r="I8" s="47" t="n">
        <f aca="false">IS_Proj!I29</f>
        <v>0.05</v>
      </c>
      <c r="J8" s="47" t="n">
        <f aca="false">IS_Proj!J29</f>
        <v>0.0500000000000001</v>
      </c>
      <c r="K8" s="47" t="n">
        <f aca="false">IS_Proj!K29</f>
        <v>0.0500000000000001</v>
      </c>
      <c r="L8" s="47" t="n">
        <f aca="false">IS_Proj!L29</f>
        <v>0.0500000000000001</v>
      </c>
      <c r="M8" s="47" t="n">
        <f aca="false">IS_Proj!M29</f>
        <v>0.0500000000000001</v>
      </c>
    </row>
    <row r="9" customFormat="false" ht="15" hidden="false" customHeight="false" outlineLevel="0" collapsed="false">
      <c r="B9" s="13" t="s">
        <v>141</v>
      </c>
      <c r="C9" s="44" t="n">
        <f aca="false">IS_Proj!C23/1000000000</f>
        <v>14.167951136</v>
      </c>
      <c r="D9" s="44" t="n">
        <f aca="false">IS_Proj!D23/1000000000</f>
        <v>6.173624777</v>
      </c>
      <c r="E9" s="44" t="n">
        <f aca="false">IS_Proj!E23/1000000000</f>
        <v>-93.604422306</v>
      </c>
      <c r="F9" s="44" t="n">
        <f aca="false">IS_Proj!F23/1000000000</f>
        <v>-110.688861895</v>
      </c>
      <c r="G9" s="44" t="n">
        <f aca="false">IS_Proj!G23/1000000000</f>
        <v>-79.917220104</v>
      </c>
      <c r="H9" s="44" t="n">
        <f aca="false">IS_Proj!H23/1000000000</f>
        <v>5.145566121</v>
      </c>
      <c r="I9" s="45" t="n">
        <f aca="false">IS_Proj!I23/1000000000</f>
        <v>-81.8706943789022</v>
      </c>
      <c r="J9" s="45" t="n">
        <f aca="false">IS_Proj!J23/1000000000</f>
        <v>-81.0131453876922</v>
      </c>
      <c r="K9" s="45" t="n">
        <f aca="false">IS_Proj!K23/1000000000</f>
        <v>-79.8397738348854</v>
      </c>
      <c r="L9" s="45" t="n">
        <f aca="false">IS_Proj!L23/1000000000</f>
        <v>-78.3641809867416</v>
      </c>
      <c r="M9" s="45" t="n">
        <f aca="false">IS_Proj!M23/1000000000</f>
        <v>-76.5426480043166</v>
      </c>
    </row>
    <row r="10" customFormat="false" ht="15" hidden="false" customHeight="false" outlineLevel="0" collapsed="false">
      <c r="B10" s="13" t="s">
        <v>142</v>
      </c>
      <c r="C10" s="44" t="n">
        <f aca="false">IS_Proj!C25/1000000000</f>
        <v>14.312842564</v>
      </c>
      <c r="D10" s="44" t="n">
        <f aca="false">IS_Proj!D25/1000000000</f>
        <v>6.099193871</v>
      </c>
      <c r="E10" s="44" t="n">
        <f aca="false">IS_Proj!E25/1000000000</f>
        <v>-93.543896993</v>
      </c>
      <c r="F10" s="44" t="n">
        <f aca="false">IS_Proj!F25/1000000000</f>
        <v>-110.919788807</v>
      </c>
      <c r="G10" s="44" t="n">
        <f aca="false">IS_Proj!G25/1000000000</f>
        <v>-80.309181321</v>
      </c>
      <c r="H10" s="44" t="n">
        <f aca="false">IS_Proj!H25/1000000000</f>
        <v>4.952718308</v>
      </c>
      <c r="I10" s="45" t="n">
        <f aca="false">IS_Proj!I25/1000000000</f>
        <v>-78.8414786868829</v>
      </c>
      <c r="J10" s="45" t="n">
        <f aca="false">IS_Proj!J25/1000000000</f>
        <v>-78.0156590083476</v>
      </c>
      <c r="K10" s="45" t="n">
        <f aca="false">IS_Proj!K25/1000000000</f>
        <v>-76.8857022029947</v>
      </c>
      <c r="L10" s="45" t="n">
        <f aca="false">IS_Proj!L25/1000000000</f>
        <v>-75.4647062902322</v>
      </c>
      <c r="M10" s="45" t="n">
        <f aca="false">IS_Proj!M25/1000000000</f>
        <v>-73.7105700281569</v>
      </c>
    </row>
    <row r="11" customFormat="false" ht="15" hidden="false" customHeight="false" outlineLevel="0" collapsed="false">
      <c r="B11" s="13" t="s">
        <v>145</v>
      </c>
      <c r="C11" s="44" t="n">
        <f aca="false">CF_Proj!C11/1000000000</f>
        <v>50.30279409</v>
      </c>
      <c r="D11" s="44" t="n">
        <f aca="false">CF_Proj!D11/1000000000</f>
        <v>47.129089642</v>
      </c>
      <c r="E11" s="44" t="n">
        <f aca="false">CF_Proj!E11/1000000000</f>
        <v>-48.836369112</v>
      </c>
      <c r="F11" s="44" t="n">
        <f aca="false">CF_Proj!F11/1000000000</f>
        <v>-83.033264168</v>
      </c>
      <c r="G11" s="44" t="n">
        <f aca="false">CF_Proj!G11/1000000000</f>
        <v>-113.01118432</v>
      </c>
      <c r="H11" s="44" t="n">
        <f aca="false">CF_Proj!H11/1000000000</f>
        <v>45.886904636</v>
      </c>
      <c r="I11" s="45" t="n">
        <f aca="false">CF_Proj!I11/1000000000</f>
        <v>-62.8564008303635</v>
      </c>
      <c r="J11" s="45" t="n">
        <f aca="false">CF_Proj!J11/1000000000</f>
        <v>-59.5653825494546</v>
      </c>
      <c r="K11" s="45" t="n">
        <f aca="false">CF_Proj!K11/1000000000</f>
        <v>-58.6819492613079</v>
      </c>
      <c r="L11" s="45" t="n">
        <f aca="false">CF_Proj!L11/1000000000</f>
        <v>-57.5122244175828</v>
      </c>
      <c r="M11" s="45" t="n">
        <f aca="false">CF_Proj!M11/1000000000</f>
        <v>-56.0148895788947</v>
      </c>
    </row>
    <row r="12" customFormat="false" ht="15" hidden="false" customHeight="false" outlineLevel="0" collapsed="false">
      <c r="B12" s="13" t="s">
        <v>146</v>
      </c>
      <c r="C12" s="44" t="n">
        <f aca="false">CF_Proj!C13/1000000000</f>
        <v>-522.268123814</v>
      </c>
      <c r="D12" s="44" t="n">
        <f aca="false">CF_Proj!D13/1000000000</f>
        <v>-310.404936909</v>
      </c>
      <c r="E12" s="44" t="n">
        <f aca="false">CF_Proj!E13/1000000000</f>
        <v>-290.453639673</v>
      </c>
      <c r="F12" s="44" t="n">
        <f aca="false">CF_Proj!F13/1000000000</f>
        <v>-12.56201095</v>
      </c>
      <c r="G12" s="44" t="n">
        <f aca="false">CF_Proj!G13/1000000000</f>
        <v>-226.929983578</v>
      </c>
      <c r="H12" s="44" t="n">
        <f aca="false">CF_Proj!H13/1000000000</f>
        <v>-210.75646126</v>
      </c>
      <c r="I12" s="45" t="n">
        <f aca="false">CF_Proj!I13/1000000000</f>
        <v>-30.8869008840008</v>
      </c>
      <c r="J12" s="45" t="n">
        <f aca="false">CF_Proj!J13/1000000000</f>
        <v>-34.8785716039887</v>
      </c>
      <c r="K12" s="45" t="n">
        <f aca="false">CF_Proj!K13/1000000000</f>
        <v>-39.3920292024613</v>
      </c>
      <c r="L12" s="45" t="n">
        <f aca="false">CF_Proj!L13/1000000000</f>
        <v>-44.4963060636498</v>
      </c>
      <c r="M12" s="45" t="n">
        <f aca="false">CF_Proj!M13/1000000000</f>
        <v>-50.2696811517147</v>
      </c>
    </row>
    <row r="13" customFormat="false" ht="15" hidden="false" customHeight="false" outlineLevel="0" collapsed="false">
      <c r="B13" s="13" t="s">
        <v>179</v>
      </c>
      <c r="C13" s="44" t="n">
        <f aca="false">CF_Proj!C27/1000000000</f>
        <v>-471.965329724</v>
      </c>
      <c r="D13" s="44" t="n">
        <f aca="false">CF_Proj!D27/1000000000</f>
        <v>-263.275847267</v>
      </c>
      <c r="E13" s="44" t="n">
        <f aca="false">CF_Proj!E27/1000000000</f>
        <v>-339.290008785</v>
      </c>
      <c r="F13" s="44" t="n">
        <f aca="false">CF_Proj!F27/1000000000</f>
        <v>-95.595275118</v>
      </c>
      <c r="G13" s="44" t="n">
        <f aca="false">CF_Proj!G27/1000000000</f>
        <v>-339.941167898</v>
      </c>
      <c r="H13" s="44" t="n">
        <f aca="false">CF_Proj!H27/1000000000</f>
        <v>-164.869556624</v>
      </c>
      <c r="I13" s="45" t="n">
        <f aca="false">CF_Proj!I27/1000000000</f>
        <v>-93.7433017143643</v>
      </c>
      <c r="J13" s="45" t="n">
        <f aca="false">CF_Proj!J27/1000000000</f>
        <v>-94.4439541534433</v>
      </c>
      <c r="K13" s="45" t="n">
        <f aca="false">CF_Proj!K27/1000000000</f>
        <v>-98.0739784637692</v>
      </c>
      <c r="L13" s="45" t="n">
        <f aca="false">CF_Proj!L27/1000000000</f>
        <v>-102.008530481233</v>
      </c>
      <c r="M13" s="45" t="n">
        <f aca="false">CF_Proj!M27/1000000000</f>
        <v>-106.284570730609</v>
      </c>
    </row>
    <row r="14" customFormat="false" ht="15" hidden="false" customHeight="false" outlineLevel="0" collapsed="false">
      <c r="B14" s="13" t="s">
        <v>180</v>
      </c>
      <c r="C14" s="44" t="n">
        <f aca="false">BS_Proj!C6/1000000000</f>
        <v>525.479693804</v>
      </c>
      <c r="D14" s="44" t="n">
        <f aca="false">BS_Proj!D6/1000000000</f>
        <v>542.400475238</v>
      </c>
      <c r="E14" s="44" t="n">
        <f aca="false">BS_Proj!E6/1000000000</f>
        <v>533.208033479</v>
      </c>
      <c r="F14" s="44" t="n">
        <f aca="false">BS_Proj!F6/1000000000</f>
        <v>525.762948837</v>
      </c>
      <c r="G14" s="44" t="n">
        <f aca="false">BS_Proj!G6/1000000000</f>
        <v>449.069663731</v>
      </c>
      <c r="H14" s="44" t="n">
        <f aca="false">BS_Proj!H6/1000000000</f>
        <v>420.204094763</v>
      </c>
      <c r="I14" s="45" t="n">
        <f aca="false">BS_Proj!I6/1000000000</f>
        <v>326.460793048636</v>
      </c>
      <c r="J14" s="45" t="n">
        <f aca="false">BS_Proj!J6/1000000000</f>
        <v>232.016838895192</v>
      </c>
      <c r="K14" s="45" t="n">
        <f aca="false">BS_Proj!K6/1000000000</f>
        <v>133.942860431423</v>
      </c>
      <c r="L14" s="45" t="n">
        <f aca="false">BS_Proj!L6/1000000000</f>
        <v>31.9343299501907</v>
      </c>
      <c r="M14" s="45" t="n">
        <f aca="false">BS_Proj!M6/1000000000</f>
        <v>-74.3502407804187</v>
      </c>
    </row>
    <row r="15" customFormat="false" ht="15" hidden="false" customHeight="false" outlineLevel="0" collapsed="false">
      <c r="B15" s="13" t="s">
        <v>181</v>
      </c>
      <c r="C15" s="44" t="n">
        <f aca="false">BS_Proj!C31/1000000000</f>
        <v>-409.316952934</v>
      </c>
      <c r="D15" s="44" t="n">
        <f aca="false">BS_Proj!D31/1000000000</f>
        <v>301.663340852</v>
      </c>
      <c r="E15" s="44" t="n">
        <f aca="false">BS_Proj!E31/1000000000</f>
        <v>423.829263168</v>
      </c>
      <c r="F15" s="44" t="n">
        <f aca="false">BS_Proj!F31/1000000000</f>
        <v>428.751244292</v>
      </c>
      <c r="G15" s="44" t="n">
        <f aca="false">BS_Proj!G31/1000000000</f>
        <v>495.396935481</v>
      </c>
      <c r="H15" s="44" t="n">
        <f aca="false">BS_Proj!H31/1000000000</f>
        <v>663.430934809</v>
      </c>
      <c r="I15" s="45" t="n">
        <f aca="false">BS_Proj!I31/1000000000</f>
        <v>757.174236523364</v>
      </c>
      <c r="J15" s="45" t="n">
        <f aca="false">BS_Proj!J31/1000000000</f>
        <v>851.618190676808</v>
      </c>
      <c r="K15" s="45" t="n">
        <f aca="false">BS_Proj!K31/1000000000</f>
        <v>949.692169140577</v>
      </c>
      <c r="L15" s="45" t="n">
        <f aca="false">BS_Proj!L31/1000000000</f>
        <v>1051.70069962181</v>
      </c>
      <c r="M15" s="45" t="n">
        <f aca="false">BS_Proj!M31/1000000000</f>
        <v>1157.98527035242</v>
      </c>
    </row>
    <row r="16" customFormat="false" ht="15" hidden="false" customHeight="false" outlineLevel="0" collapsed="false">
      <c r="B16" s="13" t="s">
        <v>182</v>
      </c>
      <c r="C16" s="48"/>
      <c r="D16" s="48" t="n">
        <f aca="false">BS_Proj!D33</f>
        <v>9.60855972725873</v>
      </c>
      <c r="E16" s="48" t="n">
        <f aca="false">BS_Proj!E33</f>
        <v>-11.2380560731979</v>
      </c>
      <c r="F16" s="48" t="n">
        <f aca="false">BS_Proj!F33</f>
        <v>-29.4597269947023</v>
      </c>
      <c r="G16" s="48" t="n">
        <f aca="false">BS_Proj!G33</f>
        <v>-112.287278451707</v>
      </c>
      <c r="H16" s="48" t="n">
        <f aca="false">BS_Proj!H33</f>
        <v>6.88621225409975</v>
      </c>
      <c r="I16" s="49" t="n">
        <f aca="false">BS_Proj!I33</f>
        <v>39.2230603836631</v>
      </c>
      <c r="J16" s="49" t="n">
        <f aca="false">BS_Proj!J33</f>
        <v>39.0666544649169</v>
      </c>
      <c r="K16" s="49" t="n">
        <f aca="false">BS_Proj!K33</f>
        <v>38.5739831480928</v>
      </c>
      <c r="L16" s="49" t="n">
        <f aca="false">BS_Proj!L33</f>
        <v>37.8170969290764</v>
      </c>
      <c r="M16" s="49" t="n">
        <f aca="false">BS_Proj!M33</f>
        <v>36.8567373039856</v>
      </c>
    </row>
    <row r="17" customFormat="false" ht="15" hidden="false" customHeight="false" outlineLevel="0" collapsed="false">
      <c r="B17" s="13" t="s">
        <v>183</v>
      </c>
      <c r="C17" s="46"/>
      <c r="D17" s="46" t="n">
        <f aca="false">BS_Proj!D32</f>
        <v>0.00185186406227988</v>
      </c>
      <c r="E17" s="46" t="n">
        <f aca="false">BS_Proj!E32</f>
        <v>-0.0287687550609852</v>
      </c>
      <c r="F17" s="46" t="n">
        <f aca="false">BS_Proj!F32</f>
        <v>-0.035199179915096</v>
      </c>
      <c r="G17" s="46" t="n">
        <f aca="false">BS_Proj!G32</f>
        <v>-0.0262737369263451</v>
      </c>
      <c r="H17" s="46" t="n">
        <f aca="false">BS_Proj!H32</f>
        <v>0.00164029602251767</v>
      </c>
      <c r="I17" s="47" t="n">
        <f aca="false">BS_Proj!I32</f>
        <v>-0.0264336108688397</v>
      </c>
      <c r="J17" s="47" t="n">
        <f aca="false">BS_Proj!J32</f>
        <v>-0.0268631037620329</v>
      </c>
      <c r="K17" s="47" t="n">
        <f aca="false">BS_Proj!K32</f>
        <v>-0.0271993949738196</v>
      </c>
      <c r="L17" s="47" t="n">
        <f aca="false">BS_Proj!L32</f>
        <v>-0.0274360455777073</v>
      </c>
      <c r="M17" s="47" t="n">
        <f aca="false">BS_Proj!M32</f>
        <v>-0.0275452592300188</v>
      </c>
    </row>
    <row r="18" customFormat="false" ht="15" hidden="false" customHeight="false" outlineLevel="0" collapsed="false">
      <c r="B18" s="13" t="s">
        <v>184</v>
      </c>
      <c r="C18" s="50" t="n">
        <f aca="false">BS_Proj!C30</f>
        <v>0</v>
      </c>
      <c r="D18" s="50" t="n">
        <f aca="false">BS_Proj!D30</f>
        <v>0</v>
      </c>
      <c r="E18" s="50" t="n">
        <f aca="false">BS_Proj!E30</f>
        <v>0</v>
      </c>
      <c r="F18" s="50" t="n">
        <f aca="false">BS_Proj!F30</f>
        <v>0</v>
      </c>
      <c r="G18" s="50" t="n">
        <f aca="false">BS_Proj!G30</f>
        <v>0</v>
      </c>
      <c r="H18" s="50" t="n">
        <f aca="false">BS_Proj!H30</f>
        <v>0</v>
      </c>
      <c r="I18" s="51" t="n">
        <f aca="false">BS_Proj!I30</f>
        <v>0</v>
      </c>
      <c r="J18" s="51" t="n">
        <f aca="false">BS_Proj!J30</f>
        <v>0</v>
      </c>
      <c r="K18" s="51" t="n">
        <f aca="false">BS_Proj!K30</f>
        <v>0</v>
      </c>
      <c r="L18" s="51" t="n">
        <f aca="false">BS_Proj!L30</f>
        <v>0</v>
      </c>
      <c r="M18" s="51" t="n">
        <f aca="false">BS_Proj!M30</f>
        <v>0</v>
      </c>
    </row>
    <row r="19" customFormat="false" ht="15" hidden="false" customHeight="false" outlineLevel="0" collapsed="false">
      <c r="B19" s="4" t="s">
        <v>30</v>
      </c>
      <c r="C19" s="42" t="str">
        <f aca="false">Rekonsiliasi!$C$3</f>
        <v>SEMUA 354 CEK SESUAI EKSPEKTASI</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52"/>
    <col collapsed="false" customWidth="true" hidden="false" outlineLevel="0" max="13" min="3" style="0" width="13"/>
    <col collapsed="false" customWidth="true" hidden="false" outlineLevel="0" max="14" min="14" style="0" width="95"/>
  </cols>
  <sheetData>
    <row r="1" customFormat="false" ht="17.35" hidden="false" customHeight="false" outlineLevel="0" collapsed="false">
      <c r="A1" s="14" t="s">
        <v>185</v>
      </c>
    </row>
    <row r="2" customFormat="false" ht="15" hidden="false" customHeight="false" outlineLevel="0" collapsed="false">
      <c r="A2" s="15" t="s">
        <v>186</v>
      </c>
    </row>
    <row r="4" customFormat="false" ht="15" hidden="false" customHeight="false" outlineLevel="0" collapsed="false">
      <c r="A4" s="4" t="s">
        <v>31</v>
      </c>
      <c r="C4" s="52" t="s">
        <v>187</v>
      </c>
      <c r="D4" s="13" t="n">
        <f aca="false">IF(C4="Bull",2,IF(C4="Bear",3,1))</f>
        <v>1</v>
      </c>
      <c r="E4" s="15" t="s">
        <v>188</v>
      </c>
    </row>
    <row r="5" customFormat="false" ht="15" hidden="false" customHeight="false" outlineLevel="0" collapsed="false">
      <c r="A5" s="4" t="s">
        <v>189</v>
      </c>
      <c r="C5" s="53" t="s">
        <v>190</v>
      </c>
    </row>
    <row r="7" customFormat="false" ht="15" hidden="false" customHeight="false" outlineLevel="0" collapsed="false">
      <c r="A7" s="25" t="s">
        <v>191</v>
      </c>
      <c r="B7" s="25" t="s">
        <v>192</v>
      </c>
      <c r="C7" s="25" t="s">
        <v>130</v>
      </c>
      <c r="D7" s="25" t="s">
        <v>131</v>
      </c>
      <c r="E7" s="25" t="s">
        <v>132</v>
      </c>
      <c r="F7" s="25" t="s">
        <v>133</v>
      </c>
      <c r="G7" s="25" t="s">
        <v>134</v>
      </c>
      <c r="H7" s="25" t="s">
        <v>135</v>
      </c>
      <c r="I7" s="43" t="s">
        <v>171</v>
      </c>
      <c r="J7" s="43" t="s">
        <v>172</v>
      </c>
      <c r="K7" s="43" t="s">
        <v>173</v>
      </c>
      <c r="L7" s="43" t="s">
        <v>174</v>
      </c>
      <c r="M7" s="43" t="s">
        <v>175</v>
      </c>
      <c r="N7" s="25" t="s">
        <v>193</v>
      </c>
    </row>
    <row r="8" customFormat="false" ht="15" hidden="false" customHeight="false" outlineLevel="0" collapsed="false">
      <c r="A8" s="16"/>
      <c r="B8" s="17" t="s">
        <v>194</v>
      </c>
      <c r="C8" s="16"/>
      <c r="D8" s="16"/>
      <c r="E8" s="16"/>
      <c r="F8" s="16"/>
      <c r="G8" s="16"/>
      <c r="H8" s="16"/>
      <c r="I8" s="16"/>
      <c r="J8" s="16"/>
      <c r="K8" s="16"/>
      <c r="L8" s="16"/>
      <c r="M8" s="16"/>
      <c r="N8" s="16"/>
    </row>
    <row r="9" customFormat="false" ht="15" hidden="false" customHeight="false" outlineLevel="0" collapsed="false">
      <c r="B9" s="4" t="s">
        <v>195</v>
      </c>
    </row>
    <row r="10" customFormat="false" ht="36" hidden="false" customHeight="true" outlineLevel="0" collapsed="false">
      <c r="A10" s="54" t="s">
        <v>196</v>
      </c>
      <c r="B10" s="13" t="s">
        <v>197</v>
      </c>
      <c r="C10" s="46"/>
      <c r="D10" s="46" t="str">
        <f aca="false">IFERROR(Schedules!D6/Schedules!C6-1,"")</f>
        <v/>
      </c>
      <c r="E10" s="46" t="n">
        <f aca="false">IFERROR(Schedules!E6/Schedules!D6-1,"")</f>
        <v>-0.237802628797515</v>
      </c>
      <c r="F10" s="46" t="n">
        <f aca="false">IFERROR(Schedules!F6/Schedules!E6-1,"")</f>
        <v>0.0173502811914366</v>
      </c>
      <c r="G10" s="46" t="n">
        <f aca="false">IFERROR(Schedules!G6/Schedules!F6-1,"")</f>
        <v>0.306091604401874</v>
      </c>
      <c r="H10" s="46" t="n">
        <f aca="false">IFERROR(Schedules!H6/Schedules!G6-1,"")</f>
        <v>0.0344813094606018</v>
      </c>
      <c r="I10" s="55" t="n">
        <f aca="false">CHOOSE(Asumsi!$D$4,I36,I61,I86)</f>
        <v>0.12</v>
      </c>
      <c r="J10" s="55" t="n">
        <f aca="false">CHOOSE(Asumsi!$D$4,J36,J61,J86)</f>
        <v>0.12</v>
      </c>
      <c r="K10" s="55" t="n">
        <f aca="false">CHOOSE(Asumsi!$D$4,K36,K61,K86)</f>
        <v>0.12</v>
      </c>
      <c r="L10" s="55" t="n">
        <f aca="false">CHOOSE(Asumsi!$D$4,L36,L61,L86)</f>
        <v>0.12</v>
      </c>
      <c r="M10" s="55" t="n">
        <f aca="false">CHOOSE(Asumsi!$D$4,M36,M61,M86)</f>
        <v>0.12</v>
      </c>
      <c r="N10" s="56" t="s">
        <v>198</v>
      </c>
    </row>
    <row r="11" customFormat="false" ht="36" hidden="false" customHeight="true" outlineLevel="0" collapsed="false">
      <c r="A11" s="54" t="s">
        <v>199</v>
      </c>
      <c r="B11" s="13" t="s">
        <v>200</v>
      </c>
      <c r="C11" s="46"/>
      <c r="D11" s="46" t="str">
        <f aca="false">IFERROR(Schedules!D7/Schedules!C7-1,"")</f>
        <v/>
      </c>
      <c r="E11" s="46" t="n">
        <f aca="false">IFERROR(Schedules!E7/Schedules!D7-1,"")</f>
        <v>-0.113746609898078</v>
      </c>
      <c r="F11" s="46" t="n">
        <f aca="false">IFERROR(Schedules!F7/Schedules!E7-1,"")</f>
        <v>-0.239020128126214</v>
      </c>
      <c r="G11" s="46" t="n">
        <f aca="false">IFERROR(Schedules!G7/Schedules!F7-1,"")</f>
        <v>0.337249098585522</v>
      </c>
      <c r="H11" s="46" t="n">
        <f aca="false">IFERROR(Schedules!H7/Schedules!G7-1,"")</f>
        <v>0.169465147237088</v>
      </c>
      <c r="I11" s="55" t="n">
        <f aca="false">CHOOSE(Asumsi!$D$4,I37,I62,I87)</f>
        <v>0.15</v>
      </c>
      <c r="J11" s="55" t="n">
        <f aca="false">CHOOSE(Asumsi!$D$4,J37,J62,J87)</f>
        <v>0.15</v>
      </c>
      <c r="K11" s="55" t="n">
        <f aca="false">CHOOSE(Asumsi!$D$4,K37,K62,K87)</f>
        <v>0.15</v>
      </c>
      <c r="L11" s="55" t="n">
        <f aca="false">CHOOSE(Asumsi!$D$4,L37,L62,L87)</f>
        <v>0.15</v>
      </c>
      <c r="M11" s="55" t="n">
        <f aca="false">CHOOSE(Asumsi!$D$4,M37,M62,M87)</f>
        <v>0.15</v>
      </c>
      <c r="N11" s="56" t="s">
        <v>201</v>
      </c>
    </row>
    <row r="12" customFormat="false" ht="15" hidden="false" customHeight="false" outlineLevel="0" collapsed="false">
      <c r="B12" s="4" t="s">
        <v>202</v>
      </c>
    </row>
    <row r="13" customFormat="false" ht="36" hidden="false" customHeight="true" outlineLevel="0" collapsed="false">
      <c r="A13" s="54" t="s">
        <v>203</v>
      </c>
      <c r="B13" s="13" t="s">
        <v>204</v>
      </c>
      <c r="C13" s="46" t="n">
        <f aca="false">IFERROR(-(IS!C7+Schedules!C12)/IS!C6,"")</f>
        <v>0.524302770401949</v>
      </c>
      <c r="D13" s="46" t="n">
        <f aca="false">IFERROR(-(IS!D7+Schedules!D12)/IS!D6,"")</f>
        <v>0.438941361544435</v>
      </c>
      <c r="E13" s="46" t="n">
        <f aca="false">IFERROR(-(IS!E7+Schedules!E12)/IS!E6,"")</f>
        <v>0.490919663885085</v>
      </c>
      <c r="F13" s="46" t="n">
        <f aca="false">IFERROR(-(IS!F7+Schedules!F12)/IS!F6,"")</f>
        <v>0.541623220021964</v>
      </c>
      <c r="G13" s="46" t="n">
        <f aca="false">IFERROR(-(IS!G7+Schedules!G12)/IS!G6,"")</f>
        <v>0.592180781579172</v>
      </c>
      <c r="H13" s="46" t="n">
        <f aca="false">IFERROR(-(IS!H7+Schedules!H12)/IS!H6,"")</f>
        <v>0.450863537042015</v>
      </c>
      <c r="I13" s="55" t="n">
        <f aca="false">CHOOSE(Asumsi!$D$4,I39,I64,I89)</f>
        <v>0.57</v>
      </c>
      <c r="J13" s="55" t="n">
        <f aca="false">CHOOSE(Asumsi!$D$4,J39,J64,J89)</f>
        <v>0.57</v>
      </c>
      <c r="K13" s="55" t="n">
        <f aca="false">CHOOSE(Asumsi!$D$4,K39,K64,K89)</f>
        <v>0.57</v>
      </c>
      <c r="L13" s="55" t="n">
        <f aca="false">CHOOSE(Asumsi!$D$4,L39,L64,L89)</f>
        <v>0.57</v>
      </c>
      <c r="M13" s="55" t="n">
        <f aca="false">CHOOSE(Asumsi!$D$4,M39,M64,M89)</f>
        <v>0.57</v>
      </c>
      <c r="N13" s="56" t="s">
        <v>205</v>
      </c>
    </row>
    <row r="14" customFormat="false" ht="36" hidden="false" customHeight="true" outlineLevel="0" collapsed="false">
      <c r="A14" s="54" t="s">
        <v>206</v>
      </c>
      <c r="B14" s="13" t="s">
        <v>207</v>
      </c>
      <c r="C14" s="46" t="n">
        <f aca="false">IFERROR(-(IS!C9+Schedules!C13+Schedules!C16+Schedules!C17)/IS!C6,"")</f>
        <v>0.54743768812106</v>
      </c>
      <c r="D14" s="46" t="n">
        <f aca="false">IFERROR(-(IS!D9+Schedules!D13+Schedules!D16+Schedules!D17)/IS!D6,"")</f>
        <v>0.453146764914569</v>
      </c>
      <c r="E14" s="46" t="n">
        <f aca="false">IFERROR(-(IS!E9+Schedules!E13+Schedules!E16+Schedules!E17)/IS!E6,"")</f>
        <v>0.670270384019521</v>
      </c>
      <c r="F14" s="46" t="n">
        <f aca="false">IFERROR(-(IS!F9+Schedules!F13+Schedules!F16+Schedules!F17)/IS!F6,"")</f>
        <v>0.518347775619209</v>
      </c>
      <c r="G14" s="46" t="n">
        <f aca="false">IFERROR(-(IS!G9+Schedules!G13+Schedules!G16+Schedules!G17)/IS!G6,"")</f>
        <v>0.421648562026843</v>
      </c>
      <c r="H14" s="46" t="n">
        <f aca="false">IFERROR(-(IS!H9+Schedules!H13+Schedules!H16+Schedules!H17)/IS!H6,"")</f>
        <v>0.33005386622693</v>
      </c>
      <c r="I14" s="55" t="n">
        <f aca="false">CHOOSE(Asumsi!$D$4,I40,I65,I90)</f>
        <v>0.38</v>
      </c>
      <c r="J14" s="55" t="n">
        <f aca="false">CHOOSE(Asumsi!$D$4,J40,J65,J90)</f>
        <v>0.38</v>
      </c>
      <c r="K14" s="55" t="n">
        <f aca="false">CHOOSE(Asumsi!$D$4,K40,K65,K90)</f>
        <v>0.38</v>
      </c>
      <c r="L14" s="55" t="n">
        <f aca="false">CHOOSE(Asumsi!$D$4,L40,L65,L90)</f>
        <v>0.38</v>
      </c>
      <c r="M14" s="55" t="n">
        <f aca="false">CHOOSE(Asumsi!$D$4,M40,M65,M90)</f>
        <v>0.38</v>
      </c>
      <c r="N14" s="56" t="s">
        <v>208</v>
      </c>
    </row>
    <row r="15" customFormat="false" ht="36" hidden="false" customHeight="true" outlineLevel="0" collapsed="false">
      <c r="A15" s="54" t="s">
        <v>209</v>
      </c>
      <c r="B15" s="13" t="s">
        <v>210</v>
      </c>
      <c r="C15" s="46" t="n">
        <f aca="false">IFERROR(IS!C12/IS!C6,"")</f>
        <v>0.00246314277006964</v>
      </c>
      <c r="D15" s="46" t="n">
        <f aca="false">IFERROR(IS!D12/IS!D6,"")</f>
        <v>0.0084739653467818</v>
      </c>
      <c r="E15" s="46" t="n">
        <f aca="false">IFERROR(IS!E12/IS!E6,"")</f>
        <v>0.109572792813473</v>
      </c>
      <c r="F15" s="46" t="n">
        <f aca="false">IFERROR(IS!F12/IS!F6,"")</f>
        <v>0.00103150017571533</v>
      </c>
      <c r="G15" s="46" t="n">
        <f aca="false">IFERROR(IS!G12/IS!G6,"")</f>
        <v>0.0791037676900465</v>
      </c>
      <c r="H15" s="46" t="n">
        <f aca="false">IFERROR(IS!H12/IS!H6,"")</f>
        <v>0.00649693182022315</v>
      </c>
      <c r="I15" s="55" t="n">
        <f aca="false">CHOOSE(Asumsi!$D$4,I41,I66,I91)</f>
        <v>0.005</v>
      </c>
      <c r="J15" s="55" t="n">
        <f aca="false">CHOOSE(Asumsi!$D$4,J41,J66,J91)</f>
        <v>0.005</v>
      </c>
      <c r="K15" s="55" t="n">
        <f aca="false">CHOOSE(Asumsi!$D$4,K41,K66,K91)</f>
        <v>0.005</v>
      </c>
      <c r="L15" s="55" t="n">
        <f aca="false">CHOOSE(Asumsi!$D$4,L41,L66,L91)</f>
        <v>0.005</v>
      </c>
      <c r="M15" s="55" t="n">
        <f aca="false">CHOOSE(Asumsi!$D$4,M41,M66,M91)</f>
        <v>0.005</v>
      </c>
      <c r="N15" s="56" t="s">
        <v>211</v>
      </c>
    </row>
    <row r="16" customFormat="false" ht="15" hidden="false" customHeight="false" outlineLevel="0" collapsed="false">
      <c r="B16" s="4" t="s">
        <v>212</v>
      </c>
    </row>
    <row r="17" customFormat="false" ht="36" hidden="false" customHeight="true" outlineLevel="0" collapsed="false">
      <c r="A17" s="54" t="s">
        <v>213</v>
      </c>
      <c r="B17" s="13" t="s">
        <v>214</v>
      </c>
      <c r="C17" s="46" t="n">
        <f aca="false">IFERROR(-(CF!C22+CF!C21)/IS!C6,"")</f>
        <v>2.4145980186802</v>
      </c>
      <c r="D17" s="46" t="n">
        <f aca="false">IFERROR(-(CF!D22+CF!D21)/IS!D6,"")</f>
        <v>1.06692430911998</v>
      </c>
      <c r="E17" s="46" t="n">
        <f aca="false">IFERROR(-(CF!E22+CF!E21)/IS!E6,"")</f>
        <v>1.24141018137372</v>
      </c>
      <c r="F17" s="46" t="n">
        <f aca="false">IFERROR(-(CF!F22+CF!F21)/IS!F6,"")</f>
        <v>0.051763514016316</v>
      </c>
      <c r="G17" s="46" t="n">
        <f aca="false">IFERROR(-(CF!G22+CF!G21)/IS!G6,"")</f>
        <v>0.711329285637062</v>
      </c>
      <c r="H17" s="46" t="n">
        <f aca="false">IFERROR(-(CF!H22+CF!H21)/IS!H6,"")</f>
        <v>0.479262517190195</v>
      </c>
      <c r="I17" s="55" t="n">
        <f aca="false">CHOOSE(Asumsi!$D$4,I43,I68,I93)</f>
        <v>0.08</v>
      </c>
      <c r="J17" s="55" t="n">
        <f aca="false">CHOOSE(Asumsi!$D$4,J43,J68,J93)</f>
        <v>0.08</v>
      </c>
      <c r="K17" s="55" t="n">
        <f aca="false">CHOOSE(Asumsi!$D$4,K43,K68,K93)</f>
        <v>0.08</v>
      </c>
      <c r="L17" s="55" t="n">
        <f aca="false">CHOOSE(Asumsi!$D$4,L43,L68,L93)</f>
        <v>0.08</v>
      </c>
      <c r="M17" s="55" t="n">
        <f aca="false">CHOOSE(Asumsi!$D$4,M43,M68,M93)</f>
        <v>0.08</v>
      </c>
      <c r="N17" s="56" t="s">
        <v>215</v>
      </c>
    </row>
    <row r="18" customFormat="false" ht="36" hidden="false" customHeight="true" outlineLevel="0" collapsed="false">
      <c r="A18" s="54" t="s">
        <v>216</v>
      </c>
      <c r="B18" s="13" t="s">
        <v>217</v>
      </c>
      <c r="C18" s="46" t="n">
        <f aca="false">0</f>
        <v>0</v>
      </c>
      <c r="D18" s="46" t="n">
        <f aca="false">0</f>
        <v>0</v>
      </c>
      <c r="E18" s="46" t="n">
        <f aca="false">0</f>
        <v>0</v>
      </c>
      <c r="F18" s="46" t="n">
        <f aca="false">0</f>
        <v>0</v>
      </c>
      <c r="G18" s="46" t="n">
        <f aca="false">0</f>
        <v>0</v>
      </c>
      <c r="H18" s="46" t="n">
        <f aca="false">0</f>
        <v>0</v>
      </c>
      <c r="I18" s="55" t="n">
        <f aca="false">CHOOSE(Asumsi!$D$4,I44,I69,I94)</f>
        <v>0</v>
      </c>
      <c r="J18" s="55" t="n">
        <f aca="false">CHOOSE(Asumsi!$D$4,J44,J69,J94)</f>
        <v>0</v>
      </c>
      <c r="K18" s="55" t="n">
        <f aca="false">CHOOSE(Asumsi!$D$4,K44,K69,K94)</f>
        <v>0</v>
      </c>
      <c r="L18" s="55" t="n">
        <f aca="false">CHOOSE(Asumsi!$D$4,L44,L69,L94)</f>
        <v>0</v>
      </c>
      <c r="M18" s="55" t="n">
        <f aca="false">CHOOSE(Asumsi!$D$4,M44,M69,M94)</f>
        <v>0</v>
      </c>
      <c r="N18" s="56" t="s">
        <v>218</v>
      </c>
    </row>
    <row r="19" customFormat="false" ht="36" hidden="false" customHeight="true" outlineLevel="0" collapsed="false">
      <c r="A19" s="54" t="s">
        <v>219</v>
      </c>
      <c r="B19" s="13" t="s">
        <v>220</v>
      </c>
      <c r="C19" s="46"/>
      <c r="D19" s="46" t="n">
        <f aca="false">IFERROR(Schedules!D14/BS!C16,"")</f>
        <v>0.00795162822087021</v>
      </c>
      <c r="E19" s="46" t="n">
        <f aca="false">IFERROR(Schedules!E14/BS!D16,"")</f>
        <v>0.0078461143120191</v>
      </c>
      <c r="F19" s="46" t="n">
        <f aca="false">IFERROR(Schedules!F14/BS!E16,"")</f>
        <v>0.0064676905658299</v>
      </c>
      <c r="G19" s="46" t="n">
        <f aca="false">IFERROR(Schedules!G14/BS!F16,"")</f>
        <v>0.00766146980225297</v>
      </c>
      <c r="H19" s="46" t="n">
        <f aca="false">IFERROR(Schedules!H14/BS!G16,"")</f>
        <v>0.00808185918754661</v>
      </c>
      <c r="I19" s="55" t="n">
        <f aca="false">CHOOSE(Asumsi!$D$4,I45,I70,I95)</f>
        <v>0.0074</v>
      </c>
      <c r="J19" s="55" t="n">
        <f aca="false">CHOOSE(Asumsi!$D$4,J45,J70,J95)</f>
        <v>0.0074</v>
      </c>
      <c r="K19" s="55" t="n">
        <f aca="false">CHOOSE(Asumsi!$D$4,K45,K70,K95)</f>
        <v>0.0074</v>
      </c>
      <c r="L19" s="55" t="n">
        <f aca="false">CHOOSE(Asumsi!$D$4,L45,L70,L95)</f>
        <v>0.0074</v>
      </c>
      <c r="M19" s="55" t="n">
        <f aca="false">CHOOSE(Asumsi!$D$4,M45,M70,M95)</f>
        <v>0.0074</v>
      </c>
      <c r="N19" s="56" t="s">
        <v>221</v>
      </c>
    </row>
    <row r="20" customFormat="false" ht="36" hidden="false" customHeight="true" outlineLevel="0" collapsed="false">
      <c r="A20" s="54" t="s">
        <v>222</v>
      </c>
      <c r="B20" s="13" t="s">
        <v>223</v>
      </c>
      <c r="C20" s="46" t="n">
        <f aca="false">0</f>
        <v>0</v>
      </c>
      <c r="D20" s="46" t="n">
        <f aca="false">0</f>
        <v>0</v>
      </c>
      <c r="E20" s="46" t="n">
        <f aca="false">0</f>
        <v>0</v>
      </c>
      <c r="F20" s="46" t="n">
        <f aca="false">0</f>
        <v>0</v>
      </c>
      <c r="G20" s="46" t="n">
        <f aca="false">0</f>
        <v>0</v>
      </c>
      <c r="H20" s="46" t="n">
        <f aca="false">0</f>
        <v>0</v>
      </c>
      <c r="I20" s="55" t="n">
        <f aca="false">CHOOSE(Asumsi!$D$4,I46,I71,I96)</f>
        <v>0</v>
      </c>
      <c r="J20" s="55" t="n">
        <f aca="false">CHOOSE(Asumsi!$D$4,J46,J71,J96)</f>
        <v>0</v>
      </c>
      <c r="K20" s="55" t="n">
        <f aca="false">CHOOSE(Asumsi!$D$4,K46,K71,K96)</f>
        <v>0</v>
      </c>
      <c r="L20" s="55" t="n">
        <f aca="false">CHOOSE(Asumsi!$D$4,L46,L71,L96)</f>
        <v>0</v>
      </c>
      <c r="M20" s="55" t="n">
        <f aca="false">CHOOSE(Asumsi!$D$4,M46,M71,M96)</f>
        <v>0</v>
      </c>
      <c r="N20" s="56" t="s">
        <v>224</v>
      </c>
    </row>
    <row r="21" customFormat="false" ht="15" hidden="false" customHeight="false" outlineLevel="0" collapsed="false">
      <c r="B21" s="4" t="s">
        <v>225</v>
      </c>
    </row>
    <row r="22" customFormat="false" ht="36" hidden="false" customHeight="true" outlineLevel="0" collapsed="false">
      <c r="A22" s="54" t="s">
        <v>226</v>
      </c>
      <c r="B22" s="13" t="s">
        <v>227</v>
      </c>
      <c r="C22" s="44" t="n">
        <f aca="false">IFERROR(BS!C8/IS!C6*365,"")</f>
        <v>78.1577016375028</v>
      </c>
      <c r="D22" s="44" t="n">
        <f aca="false">IFERROR(BS!D8/IS!D6*365,"")</f>
        <v>54.4719962651353</v>
      </c>
      <c r="E22" s="44" t="n">
        <f aca="false">IFERROR(BS!E8/IS!E6*365,"")</f>
        <v>30.4109910035356</v>
      </c>
      <c r="F22" s="44" t="n">
        <f aca="false">IFERROR(BS!F8/IS!F6*365,"")</f>
        <v>44.764497762277</v>
      </c>
      <c r="G22" s="44" t="n">
        <f aca="false">IFERROR(BS!G8/IS!G6*365,"")</f>
        <v>44.9491665624392</v>
      </c>
      <c r="H22" s="44" t="n">
        <f aca="false">IFERROR(BS!H8/IS!H6*365,"")</f>
        <v>26.9046687003695</v>
      </c>
      <c r="I22" s="57" t="n">
        <f aca="false">CHOOSE(Asumsi!$D$4,I48,I73,I98)</f>
        <v>40</v>
      </c>
      <c r="J22" s="57" t="n">
        <f aca="false">CHOOSE(Asumsi!$D$4,J48,J73,J98)</f>
        <v>40</v>
      </c>
      <c r="K22" s="57" t="n">
        <f aca="false">CHOOSE(Asumsi!$D$4,K48,K73,K98)</f>
        <v>40</v>
      </c>
      <c r="L22" s="57" t="n">
        <f aca="false">CHOOSE(Asumsi!$D$4,L48,L73,L98)</f>
        <v>40</v>
      </c>
      <c r="M22" s="57" t="n">
        <f aca="false">CHOOSE(Asumsi!$D$4,M48,M73,M98)</f>
        <v>40</v>
      </c>
      <c r="N22" s="56" t="s">
        <v>228</v>
      </c>
    </row>
    <row r="23" customFormat="false" ht="36" hidden="false" customHeight="true" outlineLevel="0" collapsed="false">
      <c r="A23" s="54" t="s">
        <v>229</v>
      </c>
      <c r="B23" s="13" t="s">
        <v>230</v>
      </c>
      <c r="C23" s="44" t="n">
        <f aca="false">IFERROR(BS!C10/-(IS!C7+Schedules!C12)*365,"")</f>
        <v>22.1059907886812</v>
      </c>
      <c r="D23" s="44" t="n">
        <f aca="false">IFERROR(BS!D10/-(IS!D7+Schedules!D12)*365,"")</f>
        <v>17.5178556042498</v>
      </c>
      <c r="E23" s="44" t="n">
        <f aca="false">IFERROR(BS!E10/-(IS!E7+Schedules!E12)*365,"")</f>
        <v>12.1077859975643</v>
      </c>
      <c r="F23" s="44" t="n">
        <f aca="false">IFERROR(BS!F10/-(IS!F7+Schedules!F12)*365,"")</f>
        <v>13.2691951162031</v>
      </c>
      <c r="G23" s="44" t="n">
        <f aca="false">IFERROR(BS!G10/-(IS!G7+Schedules!G12)*365,"")</f>
        <v>12.1102388919934</v>
      </c>
      <c r="H23" s="44" t="n">
        <f aca="false">IFERROR(BS!H10/-(IS!H7+Schedules!H12)*365,"")</f>
        <v>9.83925589713321</v>
      </c>
      <c r="I23" s="57" t="n">
        <f aca="false">CHOOSE(Asumsi!$D$4,I49,I74,I99)</f>
        <v>11</v>
      </c>
      <c r="J23" s="57" t="n">
        <f aca="false">CHOOSE(Asumsi!$D$4,J49,J74,J99)</f>
        <v>11</v>
      </c>
      <c r="K23" s="57" t="n">
        <f aca="false">CHOOSE(Asumsi!$D$4,K49,K74,K99)</f>
        <v>11</v>
      </c>
      <c r="L23" s="57" t="n">
        <f aca="false">CHOOSE(Asumsi!$D$4,L49,L74,L99)</f>
        <v>11</v>
      </c>
      <c r="M23" s="57" t="n">
        <f aca="false">CHOOSE(Asumsi!$D$4,M49,M74,M99)</f>
        <v>11</v>
      </c>
      <c r="N23" s="56" t="s">
        <v>231</v>
      </c>
    </row>
    <row r="24" customFormat="false" ht="36" hidden="false" customHeight="true" outlineLevel="0" collapsed="false">
      <c r="A24" s="54" t="s">
        <v>232</v>
      </c>
      <c r="B24" s="13" t="s">
        <v>233</v>
      </c>
      <c r="C24" s="44" t="n">
        <f aca="false">IFERROR(BS!C24/-(IS!C7+Schedules!C12)*365,"")</f>
        <v>34.8310072476382</v>
      </c>
      <c r="D24" s="44" t="n">
        <f aca="false">IFERROR(BS!D24/-(IS!D7+Schedules!D12)*365,"")</f>
        <v>41.891801685491</v>
      </c>
      <c r="E24" s="44" t="n">
        <f aca="false">IFERROR(BS!E24/-(IS!E7+Schedules!E12)*365,"")</f>
        <v>85.404128829415</v>
      </c>
      <c r="F24" s="44" t="n">
        <f aca="false">IFERROR(BS!F24/-(IS!F7+Schedules!F12)*365,"")</f>
        <v>118.10956147224</v>
      </c>
      <c r="G24" s="44" t="n">
        <f aca="false">IFERROR(BS!G24/-(IS!G7+Schedules!G12)*365,"")</f>
        <v>48.535333207485</v>
      </c>
      <c r="H24" s="44" t="n">
        <f aca="false">IFERROR(BS!H24/-(IS!H7+Schedules!H12)*365,"")</f>
        <v>38.9378905690861</v>
      </c>
      <c r="I24" s="57" t="n">
        <f aca="false">CHOOSE(Asumsi!$D$4,I50,I75,I100)</f>
        <v>45</v>
      </c>
      <c r="J24" s="57" t="n">
        <f aca="false">CHOOSE(Asumsi!$D$4,J50,J75,J100)</f>
        <v>45</v>
      </c>
      <c r="K24" s="57" t="n">
        <f aca="false">CHOOSE(Asumsi!$D$4,K50,K75,K100)</f>
        <v>45</v>
      </c>
      <c r="L24" s="57" t="n">
        <f aca="false">CHOOSE(Asumsi!$D$4,L50,L75,L100)</f>
        <v>45</v>
      </c>
      <c r="M24" s="57" t="n">
        <f aca="false">CHOOSE(Asumsi!$D$4,M50,M75,M100)</f>
        <v>45</v>
      </c>
      <c r="N24" s="56" t="s">
        <v>234</v>
      </c>
    </row>
    <row r="25" customFormat="false" ht="15" hidden="false" customHeight="false" outlineLevel="0" collapsed="false">
      <c r="B25" s="4" t="s">
        <v>235</v>
      </c>
    </row>
    <row r="26" customFormat="false" ht="36" hidden="false" customHeight="true" outlineLevel="0" collapsed="false">
      <c r="A26" s="54" t="s">
        <v>236</v>
      </c>
      <c r="B26" s="13" t="s">
        <v>237</v>
      </c>
      <c r="C26" s="46" t="n">
        <f aca="false">IFERROR(-IS!C16/IS!C15,"")</f>
        <v>-0.0271984888467246</v>
      </c>
      <c r="D26" s="46" t="n">
        <f aca="false">IFERROR(-IS!D16/IS!D15,"")</f>
        <v>0.0511660783821087</v>
      </c>
      <c r="E26" s="46" t="n">
        <f aca="false">IFERROR(-IS!E16/IS!E15,"")</f>
        <v>-0.00309125458644539</v>
      </c>
      <c r="F26" s="46" t="n">
        <f aca="false">IFERROR(-IS!F16/IS!F15,"")</f>
        <v>-0.0430258191187451</v>
      </c>
      <c r="G26" s="46" t="n">
        <f aca="false">IFERROR(-IS!G16/IS!G15,"")</f>
        <v>-0.054817047912923</v>
      </c>
      <c r="H26" s="46" t="n">
        <f aca="false">IFERROR(-IS!H16/IS!H15,"")</f>
        <v>0.362488854265026</v>
      </c>
      <c r="I26" s="55" t="n">
        <f aca="false">CHOOSE(Asumsi!$D$4,I52,I77,I102)</f>
        <v>0.22</v>
      </c>
      <c r="J26" s="55" t="n">
        <f aca="false">CHOOSE(Asumsi!$D$4,J52,J77,J102)</f>
        <v>0.22</v>
      </c>
      <c r="K26" s="55" t="n">
        <f aca="false">CHOOSE(Asumsi!$D$4,K52,K77,K102)</f>
        <v>0.22</v>
      </c>
      <c r="L26" s="55" t="n">
        <f aca="false">CHOOSE(Asumsi!$D$4,L52,L77,L102)</f>
        <v>0.22</v>
      </c>
      <c r="M26" s="55" t="n">
        <f aca="false">CHOOSE(Asumsi!$D$4,M52,M77,M102)</f>
        <v>0.22</v>
      </c>
      <c r="N26" s="56" t="s">
        <v>238</v>
      </c>
    </row>
    <row r="27" customFormat="false" ht="36" hidden="false" customHeight="true" outlineLevel="0" collapsed="false">
      <c r="A27" s="54" t="s">
        <v>239</v>
      </c>
      <c r="B27" s="13" t="s">
        <v>240</v>
      </c>
      <c r="C27" s="46"/>
      <c r="D27" s="46" t="n">
        <f aca="false">IFERROR(-IS!D14/AVERAGE((BS!D23+BS!D30+BS!D34+BS!D31+BS!D35+BS!D32+BS!D36),(BS!C23+BS!C30+BS!C34+BS!C31+BS!C35+BS!C32+BS!C36)),"")</f>
        <v>0.0538179752574295</v>
      </c>
      <c r="E27" s="46" t="n">
        <f aca="false">IFERROR(-IS!E14/AVERAGE((BS!E23+BS!E30+BS!E34+BS!E31+BS!E35+BS!E32+BS!E36),(BS!D23+BS!D30+BS!D34+BS!D31+BS!D35+BS!D32+BS!D36)),"")</f>
        <v>0.100101356308654</v>
      </c>
      <c r="F27" s="46" t="n">
        <f aca="false">IFERROR(-IS!F14/AVERAGE((BS!F23+BS!F30+BS!F34+BS!F31+BS!F35+BS!F32+BS!F36),(BS!E23+BS!E30+BS!E34+BS!E31+BS!E35+BS!E32+BS!E36)),"")</f>
        <v>0.0804139013770499</v>
      </c>
      <c r="G27" s="46" t="n">
        <f aca="false">IFERROR(-IS!G14/AVERAGE((BS!G23+BS!G30+BS!G34+BS!G31+BS!G35+BS!G32+BS!G36),(BS!F23+BS!F30+BS!F34+BS!F31+BS!F35+BS!F32+BS!F36)),"")</f>
        <v>0.0814279084020525</v>
      </c>
      <c r="H27" s="46" t="n">
        <f aca="false">IFERROR(-IS!H14/AVERAGE((BS!H23+BS!H30+BS!H34+BS!H31+BS!H35+BS!H32+BS!H36),(BS!G23+BS!G30+BS!G34+BS!G31+BS!G35+BS!G32+BS!G36)),"")</f>
        <v>0.0792435279795915</v>
      </c>
      <c r="I27" s="55" t="n">
        <f aca="false">CHOOSE(Asumsi!$D$4,I53,I78,I103)</f>
        <v>0.0804</v>
      </c>
      <c r="J27" s="55" t="n">
        <f aca="false">CHOOSE(Asumsi!$D$4,J53,J78,J103)</f>
        <v>0.0804</v>
      </c>
      <c r="K27" s="55" t="n">
        <f aca="false">CHOOSE(Asumsi!$D$4,K53,K78,K103)</f>
        <v>0.0804</v>
      </c>
      <c r="L27" s="55" t="n">
        <f aca="false">CHOOSE(Asumsi!$D$4,L53,L78,L103)</f>
        <v>0.0804</v>
      </c>
      <c r="M27" s="55" t="n">
        <f aca="false">CHOOSE(Asumsi!$D$4,M53,M78,M103)</f>
        <v>0.0804</v>
      </c>
      <c r="N27" s="56" t="s">
        <v>241</v>
      </c>
    </row>
    <row r="28" customFormat="false" ht="36" hidden="false" customHeight="true" outlineLevel="0" collapsed="false">
      <c r="A28" s="54" t="s">
        <v>242</v>
      </c>
      <c r="B28" s="13" t="s">
        <v>243</v>
      </c>
      <c r="C28" s="46"/>
      <c r="D28" s="46" t="n">
        <f aca="false">IFERROR(IS!D13/BS!C6,"")</f>
        <v>0.0300333937982512</v>
      </c>
      <c r="E28" s="46" t="n">
        <f aca="false">IFERROR(IS!E13/BS!D6,"")</f>
        <v>0.0586004820848527</v>
      </c>
      <c r="F28" s="46" t="n">
        <f aca="false">IFERROR(IS!F13/BS!E6,"")</f>
        <v>0.0124215587521917</v>
      </c>
      <c r="G28" s="46" t="n">
        <f aca="false">IFERROR(IS!G13/BS!F6,"")</f>
        <v>0.0118736226255749</v>
      </c>
      <c r="H28" s="46" t="n">
        <f aca="false">IFERROR(IS!H13/BS!G6,"")</f>
        <v>0.0346391503174838</v>
      </c>
      <c r="I28" s="55" t="n">
        <f aca="false">CHOOSE(Asumsi!$D$4,I54,I79,I104)</f>
        <v>0.0196</v>
      </c>
      <c r="J28" s="55" t="n">
        <f aca="false">CHOOSE(Asumsi!$D$4,J54,J79,J104)</f>
        <v>0.0196</v>
      </c>
      <c r="K28" s="55" t="n">
        <f aca="false">CHOOSE(Asumsi!$D$4,K54,K79,K104)</f>
        <v>0.0196</v>
      </c>
      <c r="L28" s="55" t="n">
        <f aca="false">CHOOSE(Asumsi!$D$4,L54,L79,L104)</f>
        <v>0.0196</v>
      </c>
      <c r="M28" s="55" t="n">
        <f aca="false">CHOOSE(Asumsi!$D$4,M54,M79,M104)</f>
        <v>0.0196</v>
      </c>
      <c r="N28" s="56" t="s">
        <v>244</v>
      </c>
    </row>
    <row r="29" customFormat="false" ht="36" hidden="false" customHeight="true" outlineLevel="0" collapsed="false">
      <c r="A29" s="54" t="s">
        <v>245</v>
      </c>
      <c r="B29" s="13" t="s">
        <v>246</v>
      </c>
      <c r="C29" s="50"/>
      <c r="D29" s="50" t="n">
        <f aca="false">(BS!D23+BS!D30+BS!D34+BS!D31+BS!D35+BS!D32+BS!D36)-(BS!C23+BS!C30+BS!C34+BS!C31+BS!C35+BS!C32+BS!C36)</f>
        <v>727901075220</v>
      </c>
      <c r="E29" s="50" t="n">
        <f aca="false">(BS!E23+BS!E30+BS!E34+BS!E31+BS!E35+BS!E32+BS!E36)-(BS!D23+BS!D30+BS!D34+BS!D31+BS!D35+BS!D32+BS!D36)</f>
        <v>112973480557</v>
      </c>
      <c r="F29" s="50" t="n">
        <f aca="false">(BS!F23+BS!F30+BS!F34+BS!F31+BS!F35+BS!F32+BS!F36)-(BS!E23+BS!E30+BS!E34+BS!E31+BS!E35+BS!E32+BS!E36)</f>
        <v>-2523103518</v>
      </c>
      <c r="G29" s="50" t="n">
        <f aca="false">(BS!G23+BS!G30+BS!G34+BS!G31+BS!G35+BS!G32+BS!G36)-(BS!F23+BS!F30+BS!F34+BS!F31+BS!F35+BS!F32+BS!F36)</f>
        <v>-10047593917</v>
      </c>
      <c r="H29" s="50" t="n">
        <f aca="false">(BS!H23+BS!H30+BS!H34+BS!H31+BS!H35+BS!H32+BS!H36)-(BS!G23+BS!G30+BS!G34+BS!G31+BS!G35+BS!G32+BS!G36)</f>
        <v>139168430360</v>
      </c>
      <c r="I29" s="58" t="n">
        <f aca="false">CHOOSE(Asumsi!$D$4,I55,I80,I105)</f>
        <v>0</v>
      </c>
      <c r="J29" s="58" t="n">
        <f aca="false">CHOOSE(Asumsi!$D$4,J55,J80,J105)</f>
        <v>0</v>
      </c>
      <c r="K29" s="58" t="n">
        <f aca="false">CHOOSE(Asumsi!$D$4,K55,K80,K105)</f>
        <v>0</v>
      </c>
      <c r="L29" s="58" t="n">
        <f aca="false">CHOOSE(Asumsi!$D$4,L55,L80,L105)</f>
        <v>0</v>
      </c>
      <c r="M29" s="58" t="n">
        <f aca="false">CHOOSE(Asumsi!$D$4,M55,M80,M105)</f>
        <v>0</v>
      </c>
      <c r="N29" s="56" t="s">
        <v>247</v>
      </c>
    </row>
    <row r="30" customFormat="false" ht="36" hidden="false" customHeight="true" outlineLevel="0" collapsed="false">
      <c r="A30" s="54" t="s">
        <v>248</v>
      </c>
      <c r="B30" s="13" t="s">
        <v>249</v>
      </c>
      <c r="C30" s="46" t="n">
        <f aca="false">0</f>
        <v>0</v>
      </c>
      <c r="D30" s="46" t="n">
        <f aca="false">0</f>
        <v>0</v>
      </c>
      <c r="E30" s="46" t="n">
        <f aca="false">0</f>
        <v>0</v>
      </c>
      <c r="F30" s="46" t="n">
        <f aca="false">0</f>
        <v>0</v>
      </c>
      <c r="G30" s="46" t="n">
        <f aca="false">0</f>
        <v>0</v>
      </c>
      <c r="H30" s="46" t="n">
        <f aca="false">0</f>
        <v>0</v>
      </c>
      <c r="I30" s="55" t="n">
        <f aca="false">CHOOSE(Asumsi!$D$4,I56,I81,I106)</f>
        <v>0</v>
      </c>
      <c r="J30" s="55" t="n">
        <f aca="false">CHOOSE(Asumsi!$D$4,J56,J81,J106)</f>
        <v>0</v>
      </c>
      <c r="K30" s="55" t="n">
        <f aca="false">CHOOSE(Asumsi!$D$4,K56,K81,K106)</f>
        <v>0</v>
      </c>
      <c r="L30" s="55" t="n">
        <f aca="false">CHOOSE(Asumsi!$D$4,L56,L81,L106)</f>
        <v>0</v>
      </c>
      <c r="M30" s="55" t="n">
        <f aca="false">CHOOSE(Asumsi!$D$4,M56,M81,M106)</f>
        <v>0</v>
      </c>
      <c r="N30" s="56" t="s">
        <v>250</v>
      </c>
    </row>
    <row r="31" customFormat="false" ht="36" hidden="false" customHeight="true" outlineLevel="0" collapsed="false">
      <c r="A31" s="54" t="s">
        <v>251</v>
      </c>
      <c r="B31" s="13" t="s">
        <v>252</v>
      </c>
      <c r="C31" s="46" t="n">
        <f aca="false">IFERROR(IS!C25/IS!C17,"")</f>
        <v>-0.0102267029727283</v>
      </c>
      <c r="D31" s="46" t="n">
        <f aca="false">IFERROR(IS!D25/IS!D17,"")</f>
        <v>0.0120562730467997</v>
      </c>
      <c r="E31" s="46" t="n">
        <f aca="false">IFERROR(IS!E25/IS!E17,"")</f>
        <v>0.000646607409232634</v>
      </c>
      <c r="F31" s="46" t="n">
        <f aca="false">IFERROR(IS!F25/IS!F17,"")</f>
        <v>-0.00208627054291206</v>
      </c>
      <c r="G31" s="46" t="n">
        <f aca="false">IFERROR(IS!G25/IS!G17,"")</f>
        <v>-0.00490459023086542</v>
      </c>
      <c r="H31" s="46" t="n">
        <f aca="false">IFERROR(IS!H25/IS!H17,"")</f>
        <v>0.0374784442498859</v>
      </c>
      <c r="I31" s="55" t="n">
        <f aca="false">CHOOSE(Asumsi!$D$4,I57,I82,I107)</f>
        <v>0.037</v>
      </c>
      <c r="J31" s="55" t="n">
        <f aca="false">CHOOSE(Asumsi!$D$4,J57,J82,J107)</f>
        <v>0.037</v>
      </c>
      <c r="K31" s="55" t="n">
        <f aca="false">CHOOSE(Asumsi!$D$4,K57,K82,K107)</f>
        <v>0.037</v>
      </c>
      <c r="L31" s="55" t="n">
        <f aca="false">CHOOSE(Asumsi!$D$4,L57,L82,L107)</f>
        <v>0.037</v>
      </c>
      <c r="M31" s="55" t="n">
        <f aca="false">CHOOSE(Asumsi!$D$4,M57,M82,M107)</f>
        <v>0.037</v>
      </c>
      <c r="N31" s="56" t="s">
        <v>253</v>
      </c>
    </row>
    <row r="34" customFormat="false" ht="15" hidden="false" customHeight="false" outlineLevel="0" collapsed="false">
      <c r="A34" s="16"/>
      <c r="B34" s="17" t="s">
        <v>254</v>
      </c>
      <c r="C34" s="16"/>
      <c r="D34" s="16"/>
      <c r="E34" s="16"/>
      <c r="F34" s="16"/>
      <c r="G34" s="16"/>
      <c r="H34" s="16"/>
      <c r="I34" s="16"/>
      <c r="J34" s="16"/>
      <c r="K34" s="16"/>
      <c r="L34" s="16"/>
      <c r="M34" s="16"/>
      <c r="N34" s="16"/>
    </row>
    <row r="35" customFormat="false" ht="15" hidden="false" customHeight="false" outlineLevel="0" collapsed="false">
      <c r="B35" s="4" t="s">
        <v>195</v>
      </c>
    </row>
    <row r="36" customFormat="false" ht="15" hidden="false" customHeight="false" outlineLevel="0" collapsed="false">
      <c r="A36" s="54" t="s">
        <v>255</v>
      </c>
      <c r="B36" s="13" t="s">
        <v>197</v>
      </c>
      <c r="I36" s="59" t="n">
        <v>0.12</v>
      </c>
      <c r="J36" s="59" t="n">
        <v>0.12</v>
      </c>
      <c r="K36" s="59" t="n">
        <v>0.12</v>
      </c>
      <c r="L36" s="59" t="n">
        <v>0.12</v>
      </c>
      <c r="M36" s="59" t="n">
        <v>0.12</v>
      </c>
    </row>
    <row r="37" customFormat="false" ht="15" hidden="false" customHeight="false" outlineLevel="0" collapsed="false">
      <c r="A37" s="54" t="s">
        <v>256</v>
      </c>
      <c r="B37" s="13" t="s">
        <v>200</v>
      </c>
      <c r="I37" s="59" t="n">
        <v>0.15</v>
      </c>
      <c r="J37" s="59" t="n">
        <v>0.15</v>
      </c>
      <c r="K37" s="59" t="n">
        <v>0.15</v>
      </c>
      <c r="L37" s="59" t="n">
        <v>0.15</v>
      </c>
      <c r="M37" s="59" t="n">
        <v>0.15</v>
      </c>
    </row>
    <row r="38" customFormat="false" ht="15" hidden="false" customHeight="false" outlineLevel="0" collapsed="false">
      <c r="B38" s="4" t="s">
        <v>202</v>
      </c>
    </row>
    <row r="39" customFormat="false" ht="15" hidden="false" customHeight="false" outlineLevel="0" collapsed="false">
      <c r="A39" s="54" t="s">
        <v>257</v>
      </c>
      <c r="B39" s="13" t="s">
        <v>204</v>
      </c>
      <c r="I39" s="59" t="n">
        <v>0.57</v>
      </c>
      <c r="J39" s="59" t="n">
        <v>0.57</v>
      </c>
      <c r="K39" s="59" t="n">
        <v>0.57</v>
      </c>
      <c r="L39" s="59" t="n">
        <v>0.57</v>
      </c>
      <c r="M39" s="59" t="n">
        <v>0.57</v>
      </c>
    </row>
    <row r="40" customFormat="false" ht="15" hidden="false" customHeight="false" outlineLevel="0" collapsed="false">
      <c r="A40" s="54" t="s">
        <v>258</v>
      </c>
      <c r="B40" s="13" t="s">
        <v>207</v>
      </c>
      <c r="I40" s="59" t="n">
        <v>0.38</v>
      </c>
      <c r="J40" s="59" t="n">
        <v>0.38</v>
      </c>
      <c r="K40" s="59" t="n">
        <v>0.38</v>
      </c>
      <c r="L40" s="59" t="n">
        <v>0.38</v>
      </c>
      <c r="M40" s="59" t="n">
        <v>0.38</v>
      </c>
    </row>
    <row r="41" customFormat="false" ht="15" hidden="false" customHeight="false" outlineLevel="0" collapsed="false">
      <c r="A41" s="54" t="s">
        <v>259</v>
      </c>
      <c r="B41" s="13" t="s">
        <v>210</v>
      </c>
      <c r="I41" s="59" t="n">
        <v>0.005</v>
      </c>
      <c r="J41" s="59" t="n">
        <v>0.005</v>
      </c>
      <c r="K41" s="59" t="n">
        <v>0.005</v>
      </c>
      <c r="L41" s="59" t="n">
        <v>0.005</v>
      </c>
      <c r="M41" s="59" t="n">
        <v>0.005</v>
      </c>
    </row>
    <row r="42" customFormat="false" ht="15" hidden="false" customHeight="false" outlineLevel="0" collapsed="false">
      <c r="B42" s="4" t="s">
        <v>212</v>
      </c>
    </row>
    <row r="43" customFormat="false" ht="15" hidden="false" customHeight="false" outlineLevel="0" collapsed="false">
      <c r="A43" s="54" t="s">
        <v>260</v>
      </c>
      <c r="B43" s="13" t="s">
        <v>214</v>
      </c>
      <c r="I43" s="59" t="n">
        <v>0.08</v>
      </c>
      <c r="J43" s="59" t="n">
        <v>0.08</v>
      </c>
      <c r="K43" s="59" t="n">
        <v>0.08</v>
      </c>
      <c r="L43" s="59" t="n">
        <v>0.08</v>
      </c>
      <c r="M43" s="59" t="n">
        <v>0.08</v>
      </c>
    </row>
    <row r="44" customFormat="false" ht="15" hidden="false" customHeight="false" outlineLevel="0" collapsed="false">
      <c r="A44" s="54" t="s">
        <v>261</v>
      </c>
      <c r="B44" s="13" t="s">
        <v>217</v>
      </c>
      <c r="I44" s="59" t="n">
        <v>0</v>
      </c>
      <c r="J44" s="59" t="n">
        <v>0</v>
      </c>
      <c r="K44" s="59" t="n">
        <v>0</v>
      </c>
      <c r="L44" s="59" t="n">
        <v>0</v>
      </c>
      <c r="M44" s="59" t="n">
        <v>0</v>
      </c>
    </row>
    <row r="45" customFormat="false" ht="15" hidden="false" customHeight="false" outlineLevel="0" collapsed="false">
      <c r="A45" s="54" t="s">
        <v>262</v>
      </c>
      <c r="B45" s="13" t="s">
        <v>220</v>
      </c>
      <c r="I45" s="59" t="n">
        <v>0.0074</v>
      </c>
      <c r="J45" s="59" t="n">
        <v>0.0074</v>
      </c>
      <c r="K45" s="59" t="n">
        <v>0.0074</v>
      </c>
      <c r="L45" s="59" t="n">
        <v>0.0074</v>
      </c>
      <c r="M45" s="59" t="n">
        <v>0.0074</v>
      </c>
    </row>
    <row r="46" customFormat="false" ht="15" hidden="false" customHeight="false" outlineLevel="0" collapsed="false">
      <c r="A46" s="54" t="s">
        <v>263</v>
      </c>
      <c r="B46" s="13" t="s">
        <v>223</v>
      </c>
      <c r="I46" s="59" t="n">
        <v>0</v>
      </c>
      <c r="J46" s="59" t="n">
        <v>0</v>
      </c>
      <c r="K46" s="59" t="n">
        <v>0</v>
      </c>
      <c r="L46" s="59" t="n">
        <v>0</v>
      </c>
      <c r="M46" s="59" t="n">
        <v>0</v>
      </c>
    </row>
    <row r="47" customFormat="false" ht="15" hidden="false" customHeight="false" outlineLevel="0" collapsed="false">
      <c r="B47" s="4" t="s">
        <v>225</v>
      </c>
    </row>
    <row r="48" customFormat="false" ht="15" hidden="false" customHeight="false" outlineLevel="0" collapsed="false">
      <c r="A48" s="54" t="s">
        <v>264</v>
      </c>
      <c r="B48" s="13" t="s">
        <v>227</v>
      </c>
      <c r="I48" s="60" t="n">
        <v>40</v>
      </c>
      <c r="J48" s="60" t="n">
        <v>40</v>
      </c>
      <c r="K48" s="60" t="n">
        <v>40</v>
      </c>
      <c r="L48" s="60" t="n">
        <v>40</v>
      </c>
      <c r="M48" s="60" t="n">
        <v>40</v>
      </c>
    </row>
    <row r="49" customFormat="false" ht="15" hidden="false" customHeight="false" outlineLevel="0" collapsed="false">
      <c r="A49" s="54" t="s">
        <v>265</v>
      </c>
      <c r="B49" s="13" t="s">
        <v>230</v>
      </c>
      <c r="I49" s="60" t="n">
        <v>11</v>
      </c>
      <c r="J49" s="60" t="n">
        <v>11</v>
      </c>
      <c r="K49" s="60" t="n">
        <v>11</v>
      </c>
      <c r="L49" s="60" t="n">
        <v>11</v>
      </c>
      <c r="M49" s="60" t="n">
        <v>11</v>
      </c>
    </row>
    <row r="50" customFormat="false" ht="15" hidden="false" customHeight="false" outlineLevel="0" collapsed="false">
      <c r="A50" s="54" t="s">
        <v>266</v>
      </c>
      <c r="B50" s="13" t="s">
        <v>233</v>
      </c>
      <c r="I50" s="60" t="n">
        <v>45</v>
      </c>
      <c r="J50" s="60" t="n">
        <v>45</v>
      </c>
      <c r="K50" s="60" t="n">
        <v>45</v>
      </c>
      <c r="L50" s="60" t="n">
        <v>45</v>
      </c>
      <c r="M50" s="60" t="n">
        <v>45</v>
      </c>
    </row>
    <row r="51" customFormat="false" ht="15" hidden="false" customHeight="false" outlineLevel="0" collapsed="false">
      <c r="B51" s="4" t="s">
        <v>235</v>
      </c>
    </row>
    <row r="52" customFormat="false" ht="15" hidden="false" customHeight="false" outlineLevel="0" collapsed="false">
      <c r="A52" s="54" t="s">
        <v>267</v>
      </c>
      <c r="B52" s="13" t="s">
        <v>237</v>
      </c>
      <c r="I52" s="59" t="n">
        <v>0.22</v>
      </c>
      <c r="J52" s="59" t="n">
        <v>0.22</v>
      </c>
      <c r="K52" s="59" t="n">
        <v>0.22</v>
      </c>
      <c r="L52" s="59" t="n">
        <v>0.22</v>
      </c>
      <c r="M52" s="59" t="n">
        <v>0.22</v>
      </c>
    </row>
    <row r="53" customFormat="false" ht="15" hidden="false" customHeight="false" outlineLevel="0" collapsed="false">
      <c r="A53" s="54" t="s">
        <v>268</v>
      </c>
      <c r="B53" s="13" t="s">
        <v>240</v>
      </c>
      <c r="I53" s="59" t="n">
        <v>0.0804</v>
      </c>
      <c r="J53" s="59" t="n">
        <v>0.0804</v>
      </c>
      <c r="K53" s="59" t="n">
        <v>0.0804</v>
      </c>
      <c r="L53" s="59" t="n">
        <v>0.0804</v>
      </c>
      <c r="M53" s="59" t="n">
        <v>0.0804</v>
      </c>
    </row>
    <row r="54" customFormat="false" ht="15" hidden="false" customHeight="false" outlineLevel="0" collapsed="false">
      <c r="A54" s="54" t="s">
        <v>269</v>
      </c>
      <c r="B54" s="13" t="s">
        <v>243</v>
      </c>
      <c r="I54" s="59" t="n">
        <v>0.0196</v>
      </c>
      <c r="J54" s="59" t="n">
        <v>0.0196</v>
      </c>
      <c r="K54" s="59" t="n">
        <v>0.0196</v>
      </c>
      <c r="L54" s="59" t="n">
        <v>0.0196</v>
      </c>
      <c r="M54" s="59" t="n">
        <v>0.0196</v>
      </c>
    </row>
    <row r="55" customFormat="false" ht="15" hidden="false" customHeight="false" outlineLevel="0" collapsed="false">
      <c r="A55" s="54" t="s">
        <v>270</v>
      </c>
      <c r="B55" s="13" t="s">
        <v>246</v>
      </c>
      <c r="I55" s="61" t="n">
        <v>0</v>
      </c>
      <c r="J55" s="61" t="n">
        <v>0</v>
      </c>
      <c r="K55" s="61" t="n">
        <v>0</v>
      </c>
      <c r="L55" s="61" t="n">
        <v>0</v>
      </c>
      <c r="M55" s="61" t="n">
        <v>0</v>
      </c>
    </row>
    <row r="56" customFormat="false" ht="15" hidden="false" customHeight="false" outlineLevel="0" collapsed="false">
      <c r="A56" s="54" t="s">
        <v>271</v>
      </c>
      <c r="B56" s="13" t="s">
        <v>249</v>
      </c>
      <c r="I56" s="59" t="n">
        <v>0</v>
      </c>
      <c r="J56" s="59" t="n">
        <v>0</v>
      </c>
      <c r="K56" s="59" t="n">
        <v>0</v>
      </c>
      <c r="L56" s="59" t="n">
        <v>0</v>
      </c>
      <c r="M56" s="59" t="n">
        <v>0</v>
      </c>
    </row>
    <row r="57" customFormat="false" ht="15" hidden="false" customHeight="false" outlineLevel="0" collapsed="false">
      <c r="A57" s="54" t="s">
        <v>272</v>
      </c>
      <c r="B57" s="13" t="s">
        <v>252</v>
      </c>
      <c r="I57" s="59" t="n">
        <v>0.037</v>
      </c>
      <c r="J57" s="59" t="n">
        <v>0.037</v>
      </c>
      <c r="K57" s="59" t="n">
        <v>0.037</v>
      </c>
      <c r="L57" s="59" t="n">
        <v>0.037</v>
      </c>
      <c r="M57" s="59" t="n">
        <v>0.037</v>
      </c>
    </row>
    <row r="59" customFormat="false" ht="15" hidden="false" customHeight="false" outlineLevel="0" collapsed="false">
      <c r="A59" s="16"/>
      <c r="B59" s="17" t="s">
        <v>273</v>
      </c>
      <c r="C59" s="16"/>
      <c r="D59" s="16"/>
      <c r="E59" s="16"/>
      <c r="F59" s="16"/>
      <c r="G59" s="16"/>
      <c r="H59" s="16"/>
      <c r="I59" s="16"/>
      <c r="J59" s="16"/>
      <c r="K59" s="16"/>
      <c r="L59" s="16"/>
      <c r="M59" s="16"/>
      <c r="N59" s="16"/>
    </row>
    <row r="60" customFormat="false" ht="15" hidden="false" customHeight="false" outlineLevel="0" collapsed="false">
      <c r="B60" s="4" t="s">
        <v>195</v>
      </c>
    </row>
    <row r="61" customFormat="false" ht="15" hidden="false" customHeight="false" outlineLevel="0" collapsed="false">
      <c r="A61" s="54" t="s">
        <v>274</v>
      </c>
      <c r="B61" s="13" t="s">
        <v>197</v>
      </c>
      <c r="I61" s="59" t="n">
        <v>0.16</v>
      </c>
      <c r="J61" s="59" t="n">
        <v>0.16</v>
      </c>
      <c r="K61" s="59" t="n">
        <v>0.16</v>
      </c>
      <c r="L61" s="59" t="n">
        <v>0.16</v>
      </c>
      <c r="M61" s="59" t="n">
        <v>0.16</v>
      </c>
    </row>
    <row r="62" customFormat="false" ht="15" hidden="false" customHeight="false" outlineLevel="0" collapsed="false">
      <c r="A62" s="54" t="s">
        <v>275</v>
      </c>
      <c r="B62" s="13" t="s">
        <v>200</v>
      </c>
      <c r="I62" s="59" t="n">
        <v>0.2</v>
      </c>
      <c r="J62" s="59" t="n">
        <v>0.2</v>
      </c>
      <c r="K62" s="59" t="n">
        <v>0.2</v>
      </c>
      <c r="L62" s="59" t="n">
        <v>0.2</v>
      </c>
      <c r="M62" s="59" t="n">
        <v>0.2</v>
      </c>
    </row>
    <row r="63" customFormat="false" ht="15" hidden="false" customHeight="false" outlineLevel="0" collapsed="false">
      <c r="B63" s="4" t="s">
        <v>202</v>
      </c>
    </row>
    <row r="64" customFormat="false" ht="15" hidden="false" customHeight="false" outlineLevel="0" collapsed="false">
      <c r="A64" s="54" t="s">
        <v>276</v>
      </c>
      <c r="B64" s="13" t="s">
        <v>204</v>
      </c>
      <c r="I64" s="59" t="n">
        <v>0.55</v>
      </c>
      <c r="J64" s="59" t="n">
        <v>0.55</v>
      </c>
      <c r="K64" s="59" t="n">
        <v>0.55</v>
      </c>
      <c r="L64" s="59" t="n">
        <v>0.55</v>
      </c>
      <c r="M64" s="59" t="n">
        <v>0.55</v>
      </c>
    </row>
    <row r="65" customFormat="false" ht="15" hidden="false" customHeight="false" outlineLevel="0" collapsed="false">
      <c r="A65" s="54" t="s">
        <v>277</v>
      </c>
      <c r="B65" s="13" t="s">
        <v>207</v>
      </c>
      <c r="I65" s="59" t="n">
        <v>0.35</v>
      </c>
      <c r="J65" s="59" t="n">
        <v>0.35</v>
      </c>
      <c r="K65" s="59" t="n">
        <v>0.35</v>
      </c>
      <c r="L65" s="59" t="n">
        <v>0.35</v>
      </c>
      <c r="M65" s="59" t="n">
        <v>0.35</v>
      </c>
    </row>
    <row r="66" customFormat="false" ht="15" hidden="false" customHeight="false" outlineLevel="0" collapsed="false">
      <c r="A66" s="54" t="s">
        <v>278</v>
      </c>
      <c r="B66" s="13" t="s">
        <v>210</v>
      </c>
      <c r="I66" s="59" t="n">
        <v>0.008</v>
      </c>
      <c r="J66" s="59" t="n">
        <v>0.008</v>
      </c>
      <c r="K66" s="59" t="n">
        <v>0.008</v>
      </c>
      <c r="L66" s="59" t="n">
        <v>0.008</v>
      </c>
      <c r="M66" s="59" t="n">
        <v>0.008</v>
      </c>
    </row>
    <row r="67" customFormat="false" ht="15" hidden="false" customHeight="false" outlineLevel="0" collapsed="false">
      <c r="B67" s="4" t="s">
        <v>212</v>
      </c>
    </row>
    <row r="68" customFormat="false" ht="15" hidden="false" customHeight="false" outlineLevel="0" collapsed="false">
      <c r="A68" s="54" t="s">
        <v>279</v>
      </c>
      <c r="B68" s="13" t="s">
        <v>214</v>
      </c>
      <c r="I68" s="59" t="n">
        <v>0.06</v>
      </c>
      <c r="J68" s="59" t="n">
        <v>0.06</v>
      </c>
      <c r="K68" s="59" t="n">
        <v>0.06</v>
      </c>
      <c r="L68" s="59" t="n">
        <v>0.06</v>
      </c>
      <c r="M68" s="59" t="n">
        <v>0.06</v>
      </c>
    </row>
    <row r="69" customFormat="false" ht="15" hidden="false" customHeight="false" outlineLevel="0" collapsed="false">
      <c r="A69" s="54" t="s">
        <v>280</v>
      </c>
      <c r="B69" s="13" t="s">
        <v>217</v>
      </c>
      <c r="I69" s="59" t="n">
        <v>0</v>
      </c>
      <c r="J69" s="59" t="n">
        <v>0</v>
      </c>
      <c r="K69" s="59" t="n">
        <v>0</v>
      </c>
      <c r="L69" s="59" t="n">
        <v>0</v>
      </c>
      <c r="M69" s="59" t="n">
        <v>0</v>
      </c>
    </row>
    <row r="70" customFormat="false" ht="15" hidden="false" customHeight="false" outlineLevel="0" collapsed="false">
      <c r="A70" s="54" t="s">
        <v>281</v>
      </c>
      <c r="B70" s="13" t="s">
        <v>220</v>
      </c>
      <c r="I70" s="59" t="n">
        <v>0.0074</v>
      </c>
      <c r="J70" s="59" t="n">
        <v>0.0074</v>
      </c>
      <c r="K70" s="59" t="n">
        <v>0.0074</v>
      </c>
      <c r="L70" s="59" t="n">
        <v>0.0074</v>
      </c>
      <c r="M70" s="59" t="n">
        <v>0.0074</v>
      </c>
    </row>
    <row r="71" customFormat="false" ht="15" hidden="false" customHeight="false" outlineLevel="0" collapsed="false">
      <c r="A71" s="54" t="s">
        <v>282</v>
      </c>
      <c r="B71" s="13" t="s">
        <v>223</v>
      </c>
      <c r="I71" s="59" t="n">
        <v>0</v>
      </c>
      <c r="J71" s="59" t="n">
        <v>0</v>
      </c>
      <c r="K71" s="59" t="n">
        <v>0</v>
      </c>
      <c r="L71" s="59" t="n">
        <v>0</v>
      </c>
      <c r="M71" s="59" t="n">
        <v>0</v>
      </c>
    </row>
    <row r="72" customFormat="false" ht="15" hidden="false" customHeight="false" outlineLevel="0" collapsed="false">
      <c r="B72" s="4" t="s">
        <v>225</v>
      </c>
    </row>
    <row r="73" customFormat="false" ht="15" hidden="false" customHeight="false" outlineLevel="0" collapsed="false">
      <c r="A73" s="54" t="s">
        <v>283</v>
      </c>
      <c r="B73" s="13" t="s">
        <v>227</v>
      </c>
      <c r="I73" s="60" t="n">
        <v>35</v>
      </c>
      <c r="J73" s="60" t="n">
        <v>35</v>
      </c>
      <c r="K73" s="60" t="n">
        <v>35</v>
      </c>
      <c r="L73" s="60" t="n">
        <v>35</v>
      </c>
      <c r="M73" s="60" t="n">
        <v>35</v>
      </c>
    </row>
    <row r="74" customFormat="false" ht="15" hidden="false" customHeight="false" outlineLevel="0" collapsed="false">
      <c r="A74" s="54" t="s">
        <v>284</v>
      </c>
      <c r="B74" s="13" t="s">
        <v>230</v>
      </c>
      <c r="I74" s="60" t="n">
        <v>10</v>
      </c>
      <c r="J74" s="60" t="n">
        <v>10</v>
      </c>
      <c r="K74" s="60" t="n">
        <v>10</v>
      </c>
      <c r="L74" s="60" t="n">
        <v>10</v>
      </c>
      <c r="M74" s="60" t="n">
        <v>10</v>
      </c>
    </row>
    <row r="75" customFormat="false" ht="15" hidden="false" customHeight="false" outlineLevel="0" collapsed="false">
      <c r="A75" s="54" t="s">
        <v>285</v>
      </c>
      <c r="B75" s="13" t="s">
        <v>233</v>
      </c>
      <c r="I75" s="60" t="n">
        <v>50</v>
      </c>
      <c r="J75" s="60" t="n">
        <v>50</v>
      </c>
      <c r="K75" s="60" t="n">
        <v>50</v>
      </c>
      <c r="L75" s="60" t="n">
        <v>50</v>
      </c>
      <c r="M75" s="60" t="n">
        <v>50</v>
      </c>
    </row>
    <row r="76" customFormat="false" ht="15" hidden="false" customHeight="false" outlineLevel="0" collapsed="false">
      <c r="B76" s="4" t="s">
        <v>235</v>
      </c>
    </row>
    <row r="77" customFormat="false" ht="15" hidden="false" customHeight="false" outlineLevel="0" collapsed="false">
      <c r="A77" s="54" t="s">
        <v>286</v>
      </c>
      <c r="B77" s="13" t="s">
        <v>237</v>
      </c>
      <c r="I77" s="59" t="n">
        <v>0.22</v>
      </c>
      <c r="J77" s="59" t="n">
        <v>0.22</v>
      </c>
      <c r="K77" s="59" t="n">
        <v>0.22</v>
      </c>
      <c r="L77" s="59" t="n">
        <v>0.22</v>
      </c>
      <c r="M77" s="59" t="n">
        <v>0.22</v>
      </c>
    </row>
    <row r="78" customFormat="false" ht="15" hidden="false" customHeight="false" outlineLevel="0" collapsed="false">
      <c r="A78" s="54" t="s">
        <v>287</v>
      </c>
      <c r="B78" s="13" t="s">
        <v>240</v>
      </c>
      <c r="I78" s="59" t="n">
        <v>0.0724</v>
      </c>
      <c r="J78" s="59" t="n">
        <v>0.0724</v>
      </c>
      <c r="K78" s="59" t="n">
        <v>0.0724</v>
      </c>
      <c r="L78" s="59" t="n">
        <v>0.0724</v>
      </c>
      <c r="M78" s="59" t="n">
        <v>0.0724</v>
      </c>
    </row>
    <row r="79" customFormat="false" ht="15" hidden="false" customHeight="false" outlineLevel="0" collapsed="false">
      <c r="A79" s="54" t="s">
        <v>288</v>
      </c>
      <c r="B79" s="13" t="s">
        <v>243</v>
      </c>
      <c r="I79" s="59" t="n">
        <v>0.0196</v>
      </c>
      <c r="J79" s="59" t="n">
        <v>0.0196</v>
      </c>
      <c r="K79" s="59" t="n">
        <v>0.0196</v>
      </c>
      <c r="L79" s="59" t="n">
        <v>0.0196</v>
      </c>
      <c r="M79" s="59" t="n">
        <v>0.0196</v>
      </c>
    </row>
    <row r="80" customFormat="false" ht="15" hidden="false" customHeight="false" outlineLevel="0" collapsed="false">
      <c r="A80" s="54" t="s">
        <v>289</v>
      </c>
      <c r="B80" s="13" t="s">
        <v>246</v>
      </c>
      <c r="I80" s="61" t="n">
        <v>0</v>
      </c>
      <c r="J80" s="61" t="n">
        <v>0</v>
      </c>
      <c r="K80" s="61" t="n">
        <v>0</v>
      </c>
      <c r="L80" s="61" t="n">
        <v>0</v>
      </c>
      <c r="M80" s="61" t="n">
        <v>0</v>
      </c>
    </row>
    <row r="81" customFormat="false" ht="15" hidden="false" customHeight="false" outlineLevel="0" collapsed="false">
      <c r="A81" s="54" t="s">
        <v>290</v>
      </c>
      <c r="B81" s="13" t="s">
        <v>249</v>
      </c>
      <c r="I81" s="59" t="n">
        <v>0</v>
      </c>
      <c r="J81" s="59" t="n">
        <v>0</v>
      </c>
      <c r="K81" s="59" t="n">
        <v>0</v>
      </c>
      <c r="L81" s="59" t="n">
        <v>0</v>
      </c>
      <c r="M81" s="59" t="n">
        <v>0</v>
      </c>
    </row>
    <row r="82" customFormat="false" ht="15" hidden="false" customHeight="false" outlineLevel="0" collapsed="false">
      <c r="A82" s="54" t="s">
        <v>291</v>
      </c>
      <c r="B82" s="13" t="s">
        <v>252</v>
      </c>
      <c r="I82" s="59" t="n">
        <v>0.037</v>
      </c>
      <c r="J82" s="59" t="n">
        <v>0.037</v>
      </c>
      <c r="K82" s="59" t="n">
        <v>0.037</v>
      </c>
      <c r="L82" s="59" t="n">
        <v>0.037</v>
      </c>
      <c r="M82" s="59" t="n">
        <v>0.037</v>
      </c>
    </row>
    <row r="84" customFormat="false" ht="15" hidden="false" customHeight="false" outlineLevel="0" collapsed="false">
      <c r="A84" s="16"/>
      <c r="B84" s="17" t="s">
        <v>292</v>
      </c>
      <c r="C84" s="16"/>
      <c r="D84" s="16"/>
      <c r="E84" s="16"/>
      <c r="F84" s="16"/>
      <c r="G84" s="16"/>
      <c r="H84" s="16"/>
      <c r="I84" s="16"/>
      <c r="J84" s="16"/>
      <c r="K84" s="16"/>
      <c r="L84" s="16"/>
      <c r="M84" s="16"/>
      <c r="N84" s="16"/>
    </row>
    <row r="85" customFormat="false" ht="15" hidden="false" customHeight="false" outlineLevel="0" collapsed="false">
      <c r="B85" s="4" t="s">
        <v>195</v>
      </c>
    </row>
    <row r="86" customFormat="false" ht="15" hidden="false" customHeight="false" outlineLevel="0" collapsed="false">
      <c r="A86" s="54" t="s">
        <v>293</v>
      </c>
      <c r="B86" s="13" t="s">
        <v>197</v>
      </c>
      <c r="I86" s="59" t="n">
        <v>0.07</v>
      </c>
      <c r="J86" s="59" t="n">
        <v>0.07</v>
      </c>
      <c r="K86" s="59" t="n">
        <v>0.07</v>
      </c>
      <c r="L86" s="59" t="n">
        <v>0.07</v>
      </c>
      <c r="M86" s="59" t="n">
        <v>0.07</v>
      </c>
    </row>
    <row r="87" customFormat="false" ht="15" hidden="false" customHeight="false" outlineLevel="0" collapsed="false">
      <c r="A87" s="54" t="s">
        <v>294</v>
      </c>
      <c r="B87" s="13" t="s">
        <v>200</v>
      </c>
      <c r="I87" s="59" t="n">
        <v>0.09</v>
      </c>
      <c r="J87" s="59" t="n">
        <v>0.09</v>
      </c>
      <c r="K87" s="59" t="n">
        <v>0.09</v>
      </c>
      <c r="L87" s="59" t="n">
        <v>0.09</v>
      </c>
      <c r="M87" s="59" t="n">
        <v>0.09</v>
      </c>
    </row>
    <row r="88" customFormat="false" ht="15" hidden="false" customHeight="false" outlineLevel="0" collapsed="false">
      <c r="B88" s="4" t="s">
        <v>202</v>
      </c>
    </row>
    <row r="89" customFormat="false" ht="15" hidden="false" customHeight="false" outlineLevel="0" collapsed="false">
      <c r="A89" s="54" t="s">
        <v>295</v>
      </c>
      <c r="B89" s="13" t="s">
        <v>204</v>
      </c>
      <c r="I89" s="59" t="n">
        <v>0.6</v>
      </c>
      <c r="J89" s="59" t="n">
        <v>0.6</v>
      </c>
      <c r="K89" s="59" t="n">
        <v>0.6</v>
      </c>
      <c r="L89" s="59" t="n">
        <v>0.6</v>
      </c>
      <c r="M89" s="59" t="n">
        <v>0.6</v>
      </c>
    </row>
    <row r="90" customFormat="false" ht="15" hidden="false" customHeight="false" outlineLevel="0" collapsed="false">
      <c r="A90" s="54" t="s">
        <v>296</v>
      </c>
      <c r="B90" s="13" t="s">
        <v>207</v>
      </c>
      <c r="I90" s="59" t="n">
        <v>0.42</v>
      </c>
      <c r="J90" s="59" t="n">
        <v>0.42</v>
      </c>
      <c r="K90" s="59" t="n">
        <v>0.42</v>
      </c>
      <c r="L90" s="59" t="n">
        <v>0.42</v>
      </c>
      <c r="M90" s="59" t="n">
        <v>0.42</v>
      </c>
    </row>
    <row r="91" customFormat="false" ht="15" hidden="false" customHeight="false" outlineLevel="0" collapsed="false">
      <c r="A91" s="54" t="s">
        <v>297</v>
      </c>
      <c r="B91" s="13" t="s">
        <v>210</v>
      </c>
      <c r="I91" s="59" t="n">
        <v>0.003</v>
      </c>
      <c r="J91" s="59" t="n">
        <v>0.003</v>
      </c>
      <c r="K91" s="59" t="n">
        <v>0.003</v>
      </c>
      <c r="L91" s="59" t="n">
        <v>0.003</v>
      </c>
      <c r="M91" s="59" t="n">
        <v>0.003</v>
      </c>
    </row>
    <row r="92" customFormat="false" ht="15" hidden="false" customHeight="false" outlineLevel="0" collapsed="false">
      <c r="B92" s="4" t="s">
        <v>212</v>
      </c>
    </row>
    <row r="93" customFormat="false" ht="15" hidden="false" customHeight="false" outlineLevel="0" collapsed="false">
      <c r="A93" s="54" t="s">
        <v>298</v>
      </c>
      <c r="B93" s="13" t="s">
        <v>214</v>
      </c>
      <c r="I93" s="59" t="n">
        <v>0.12</v>
      </c>
      <c r="J93" s="59" t="n">
        <v>0.12</v>
      </c>
      <c r="K93" s="59" t="n">
        <v>0.12</v>
      </c>
      <c r="L93" s="59" t="n">
        <v>0.12</v>
      </c>
      <c r="M93" s="59" t="n">
        <v>0.12</v>
      </c>
    </row>
    <row r="94" customFormat="false" ht="15" hidden="false" customHeight="false" outlineLevel="0" collapsed="false">
      <c r="A94" s="54" t="s">
        <v>299</v>
      </c>
      <c r="B94" s="13" t="s">
        <v>217</v>
      </c>
      <c r="I94" s="59" t="n">
        <v>0</v>
      </c>
      <c r="J94" s="59" t="n">
        <v>0</v>
      </c>
      <c r="K94" s="59" t="n">
        <v>0</v>
      </c>
      <c r="L94" s="59" t="n">
        <v>0</v>
      </c>
      <c r="M94" s="59" t="n">
        <v>0</v>
      </c>
    </row>
    <row r="95" customFormat="false" ht="15" hidden="false" customHeight="false" outlineLevel="0" collapsed="false">
      <c r="A95" s="54" t="s">
        <v>300</v>
      </c>
      <c r="B95" s="13" t="s">
        <v>220</v>
      </c>
      <c r="I95" s="59" t="n">
        <v>0.0074</v>
      </c>
      <c r="J95" s="59" t="n">
        <v>0.0074</v>
      </c>
      <c r="K95" s="59" t="n">
        <v>0.0074</v>
      </c>
      <c r="L95" s="59" t="n">
        <v>0.0074</v>
      </c>
      <c r="M95" s="59" t="n">
        <v>0.0074</v>
      </c>
    </row>
    <row r="96" customFormat="false" ht="15" hidden="false" customHeight="false" outlineLevel="0" collapsed="false">
      <c r="A96" s="54" t="s">
        <v>301</v>
      </c>
      <c r="B96" s="13" t="s">
        <v>223</v>
      </c>
      <c r="I96" s="59" t="n">
        <v>0</v>
      </c>
      <c r="J96" s="59" t="n">
        <v>0</v>
      </c>
      <c r="K96" s="59" t="n">
        <v>0</v>
      </c>
      <c r="L96" s="59" t="n">
        <v>0</v>
      </c>
      <c r="M96" s="59" t="n">
        <v>0</v>
      </c>
    </row>
    <row r="97" customFormat="false" ht="15" hidden="false" customHeight="false" outlineLevel="0" collapsed="false">
      <c r="B97" s="4" t="s">
        <v>225</v>
      </c>
    </row>
    <row r="98" customFormat="false" ht="15" hidden="false" customHeight="false" outlineLevel="0" collapsed="false">
      <c r="A98" s="54" t="s">
        <v>302</v>
      </c>
      <c r="B98" s="13" t="s">
        <v>227</v>
      </c>
      <c r="I98" s="60" t="n">
        <v>45</v>
      </c>
      <c r="J98" s="60" t="n">
        <v>45</v>
      </c>
      <c r="K98" s="60" t="n">
        <v>45</v>
      </c>
      <c r="L98" s="60" t="n">
        <v>45</v>
      </c>
      <c r="M98" s="60" t="n">
        <v>45</v>
      </c>
    </row>
    <row r="99" customFormat="false" ht="15" hidden="false" customHeight="false" outlineLevel="0" collapsed="false">
      <c r="A99" s="54" t="s">
        <v>303</v>
      </c>
      <c r="B99" s="13" t="s">
        <v>230</v>
      </c>
      <c r="I99" s="60" t="n">
        <v>12</v>
      </c>
      <c r="J99" s="60" t="n">
        <v>12</v>
      </c>
      <c r="K99" s="60" t="n">
        <v>12</v>
      </c>
      <c r="L99" s="60" t="n">
        <v>12</v>
      </c>
      <c r="M99" s="60" t="n">
        <v>12</v>
      </c>
    </row>
    <row r="100" customFormat="false" ht="15" hidden="false" customHeight="false" outlineLevel="0" collapsed="false">
      <c r="A100" s="54" t="s">
        <v>304</v>
      </c>
      <c r="B100" s="13" t="s">
        <v>233</v>
      </c>
      <c r="I100" s="60" t="n">
        <v>40</v>
      </c>
      <c r="J100" s="60" t="n">
        <v>40</v>
      </c>
      <c r="K100" s="60" t="n">
        <v>40</v>
      </c>
      <c r="L100" s="60" t="n">
        <v>40</v>
      </c>
      <c r="M100" s="60" t="n">
        <v>40</v>
      </c>
    </row>
    <row r="101" customFormat="false" ht="15" hidden="false" customHeight="false" outlineLevel="0" collapsed="false">
      <c r="B101" s="4" t="s">
        <v>235</v>
      </c>
    </row>
    <row r="102" customFormat="false" ht="15" hidden="false" customHeight="false" outlineLevel="0" collapsed="false">
      <c r="A102" s="54" t="s">
        <v>305</v>
      </c>
      <c r="B102" s="13" t="s">
        <v>237</v>
      </c>
      <c r="I102" s="59" t="n">
        <v>0.22</v>
      </c>
      <c r="J102" s="59" t="n">
        <v>0.22</v>
      </c>
      <c r="K102" s="59" t="n">
        <v>0.22</v>
      </c>
      <c r="L102" s="59" t="n">
        <v>0.22</v>
      </c>
      <c r="M102" s="59" t="n">
        <v>0.22</v>
      </c>
    </row>
    <row r="103" customFormat="false" ht="15" hidden="false" customHeight="false" outlineLevel="0" collapsed="false">
      <c r="A103" s="54" t="s">
        <v>306</v>
      </c>
      <c r="B103" s="13" t="s">
        <v>240</v>
      </c>
      <c r="I103" s="59" t="n">
        <v>0.0884</v>
      </c>
      <c r="J103" s="59" t="n">
        <v>0.0884</v>
      </c>
      <c r="K103" s="59" t="n">
        <v>0.0884</v>
      </c>
      <c r="L103" s="59" t="n">
        <v>0.0884</v>
      </c>
      <c r="M103" s="59" t="n">
        <v>0.0884</v>
      </c>
    </row>
    <row r="104" customFormat="false" ht="15" hidden="false" customHeight="false" outlineLevel="0" collapsed="false">
      <c r="A104" s="54" t="s">
        <v>307</v>
      </c>
      <c r="B104" s="13" t="s">
        <v>243</v>
      </c>
      <c r="I104" s="59" t="n">
        <v>0.0157</v>
      </c>
      <c r="J104" s="59" t="n">
        <v>0.0157</v>
      </c>
      <c r="K104" s="59" t="n">
        <v>0.0157</v>
      </c>
      <c r="L104" s="59" t="n">
        <v>0.0157</v>
      </c>
      <c r="M104" s="59" t="n">
        <v>0.0157</v>
      </c>
    </row>
    <row r="105" customFormat="false" ht="15" hidden="false" customHeight="false" outlineLevel="0" collapsed="false">
      <c r="A105" s="54" t="s">
        <v>308</v>
      </c>
      <c r="B105" s="13" t="s">
        <v>246</v>
      </c>
      <c r="I105" s="61" t="n">
        <v>0</v>
      </c>
      <c r="J105" s="61" t="n">
        <v>0</v>
      </c>
      <c r="K105" s="61" t="n">
        <v>0</v>
      </c>
      <c r="L105" s="61" t="n">
        <v>0</v>
      </c>
      <c r="M105" s="61" t="n">
        <v>0</v>
      </c>
    </row>
    <row r="106" customFormat="false" ht="15" hidden="false" customHeight="false" outlineLevel="0" collapsed="false">
      <c r="A106" s="54" t="s">
        <v>309</v>
      </c>
      <c r="B106" s="13" t="s">
        <v>249</v>
      </c>
      <c r="I106" s="59" t="n">
        <v>0</v>
      </c>
      <c r="J106" s="59" t="n">
        <v>0</v>
      </c>
      <c r="K106" s="59" t="n">
        <v>0</v>
      </c>
      <c r="L106" s="59" t="n">
        <v>0</v>
      </c>
      <c r="M106" s="59" t="n">
        <v>0</v>
      </c>
    </row>
    <row r="107" customFormat="false" ht="15" hidden="false" customHeight="false" outlineLevel="0" collapsed="false">
      <c r="A107" s="54" t="s">
        <v>310</v>
      </c>
      <c r="B107" s="13" t="s">
        <v>252</v>
      </c>
      <c r="I107" s="59" t="n">
        <v>0.037</v>
      </c>
      <c r="J107" s="59" t="n">
        <v>0.037</v>
      </c>
      <c r="K107" s="59" t="n">
        <v>0.037</v>
      </c>
      <c r="L107" s="59" t="n">
        <v>0.037</v>
      </c>
      <c r="M107" s="59" t="n">
        <v>0.037</v>
      </c>
    </row>
    <row r="109" customFormat="false" ht="15" hidden="false" customHeight="false" outlineLevel="0" collapsed="false">
      <c r="A109" s="16"/>
      <c r="B109" s="17" t="s">
        <v>311</v>
      </c>
      <c r="C109" s="16"/>
      <c r="D109" s="16"/>
      <c r="E109" s="16"/>
      <c r="F109" s="16"/>
      <c r="G109" s="16"/>
      <c r="H109" s="16"/>
      <c r="I109" s="16"/>
      <c r="J109" s="16"/>
      <c r="K109" s="16"/>
      <c r="L109" s="16"/>
      <c r="M109" s="16"/>
      <c r="N109" s="16"/>
    </row>
    <row r="110" customFormat="false" ht="15" hidden="false" customHeight="false" outlineLevel="0" collapsed="false">
      <c r="A110" s="54" t="s">
        <v>312</v>
      </c>
      <c r="B110" s="13" t="s">
        <v>313</v>
      </c>
      <c r="C110" s="62" t="n">
        <v>33250000000</v>
      </c>
      <c r="N110" s="15" t="s">
        <v>314</v>
      </c>
    </row>
  </sheetData>
  <dataValidations count="1">
    <dataValidation allowBlank="false" errorStyle="stop" operator="between" showDropDown="false" showErrorMessage="false" showInputMessage="false" sqref="C4" type="list">
      <formula1>"Base,Bull,Bear"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315</v>
      </c>
    </row>
    <row r="2" customFormat="false" ht="15" hidden="false" customHeight="false" outlineLevel="0" collapsed="false">
      <c r="A2" s="15" t="s">
        <v>316</v>
      </c>
    </row>
    <row r="3" customFormat="false" ht="15" hidden="false" customHeight="false" outlineLevel="0" collapsed="false">
      <c r="A3" s="4" t="s">
        <v>170</v>
      </c>
      <c r="C3" s="42" t="str">
        <f aca="false">Asumsi!C4</f>
        <v>Base</v>
      </c>
      <c r="I3" s="15" t="s">
        <v>317</v>
      </c>
      <c r="J3" s="15" t="s">
        <v>317</v>
      </c>
      <c r="K3" s="15" t="s">
        <v>317</v>
      </c>
      <c r="L3" s="15" t="s">
        <v>317</v>
      </c>
      <c r="M3" s="15" t="s">
        <v>317</v>
      </c>
    </row>
    <row r="4" customFormat="false" ht="15" hidden="false" customHeight="false" outlineLevel="0" collapsed="false">
      <c r="A4" s="25" t="s">
        <v>318</v>
      </c>
      <c r="B4" s="25" t="s">
        <v>319</v>
      </c>
      <c r="C4" s="25" t="s">
        <v>130</v>
      </c>
      <c r="D4" s="25" t="s">
        <v>131</v>
      </c>
      <c r="E4" s="25" t="s">
        <v>132</v>
      </c>
      <c r="F4" s="25" t="s">
        <v>133</v>
      </c>
      <c r="G4" s="25" t="s">
        <v>134</v>
      </c>
      <c r="H4" s="25" t="s">
        <v>135</v>
      </c>
      <c r="I4" s="43" t="s">
        <v>171</v>
      </c>
      <c r="J4" s="43" t="s">
        <v>172</v>
      </c>
      <c r="K4" s="43" t="s">
        <v>173</v>
      </c>
      <c r="L4" s="43" t="s">
        <v>174</v>
      </c>
      <c r="M4" s="43" t="s">
        <v>175</v>
      </c>
      <c r="N4" s="25" t="s">
        <v>320</v>
      </c>
    </row>
    <row r="5" customFormat="false" ht="15" hidden="false" customHeight="false" outlineLevel="0" collapsed="false">
      <c r="A5" s="16"/>
      <c r="B5" s="17" t="s">
        <v>321</v>
      </c>
      <c r="C5" s="16"/>
      <c r="D5" s="16"/>
      <c r="E5" s="16"/>
      <c r="F5" s="16"/>
      <c r="G5" s="16"/>
      <c r="H5" s="16"/>
      <c r="I5" s="16"/>
      <c r="J5" s="16"/>
      <c r="K5" s="16"/>
      <c r="L5" s="16"/>
      <c r="M5" s="16"/>
      <c r="N5" s="16"/>
    </row>
    <row r="6" customFormat="false" ht="15" hidden="false" customHeight="false" outlineLevel="0" collapsed="false">
      <c r="A6" s="54" t="s">
        <v>322</v>
      </c>
      <c r="B6" s="13" t="s">
        <v>323</v>
      </c>
      <c r="C6" s="61"/>
      <c r="D6" s="50" t="n">
        <f aca="false">Schedules!D6</f>
        <v>227741067451</v>
      </c>
      <c r="E6" s="50" t="n">
        <f aca="false">Schedules!E6</f>
        <v>173583642926</v>
      </c>
      <c r="F6" s="50" t="n">
        <f aca="false">Schedules!F6</f>
        <v>176595367941</v>
      </c>
      <c r="G6" s="50" t="n">
        <f aca="false">Schedules!G6</f>
        <v>230649727444</v>
      </c>
      <c r="H6" s="50" t="n">
        <f aca="false">Schedules!H6</f>
        <v>238602832073</v>
      </c>
      <c r="I6" s="51" t="n">
        <f aca="false">H6*(1+Asumsi!I10)</f>
        <v>267235171921.76</v>
      </c>
      <c r="J6" s="51" t="n">
        <f aca="false">I6*(1+Asumsi!J10)</f>
        <v>299303392552.371</v>
      </c>
      <c r="K6" s="51" t="n">
        <f aca="false">J6*(1+Asumsi!K10)</f>
        <v>335219799658.656</v>
      </c>
      <c r="L6" s="51" t="n">
        <f aca="false">K6*(1+Asumsi!L10)</f>
        <v>375446175617.695</v>
      </c>
      <c r="M6" s="51" t="n">
        <f aca="false">L6*(1+Asumsi!M10)</f>
        <v>420499716691.818</v>
      </c>
    </row>
    <row r="7" customFormat="false" ht="15" hidden="false" customHeight="false" outlineLevel="0" collapsed="false">
      <c r="A7" s="54" t="s">
        <v>324</v>
      </c>
      <c r="B7" s="13" t="s">
        <v>325</v>
      </c>
      <c r="C7" s="61"/>
      <c r="D7" s="50" t="n">
        <f aca="false">Schedules!D7</f>
        <v>97988396120</v>
      </c>
      <c r="E7" s="50" t="n">
        <f aca="false">Schedules!E7</f>
        <v>86842548252</v>
      </c>
      <c r="F7" s="50" t="n">
        <f aca="false">Schedules!F7</f>
        <v>66085431242</v>
      </c>
      <c r="G7" s="50" t="n">
        <f aca="false">Schedules!G7</f>
        <v>88372683358</v>
      </c>
      <c r="H7" s="50" t="n">
        <f aca="false">Schedules!H7</f>
        <v>103348773155</v>
      </c>
      <c r="I7" s="51" t="n">
        <f aca="false">H7*(1+Asumsi!I11)</f>
        <v>118851089128.25</v>
      </c>
      <c r="J7" s="51" t="n">
        <f aca="false">I7*(1+Asumsi!J11)</f>
        <v>136678752497.487</v>
      </c>
      <c r="K7" s="51" t="n">
        <f aca="false">J7*(1+Asumsi!K11)</f>
        <v>157180565372.111</v>
      </c>
      <c r="L7" s="51" t="n">
        <f aca="false">K7*(1+Asumsi!L11)</f>
        <v>180757650177.927</v>
      </c>
      <c r="M7" s="51" t="n">
        <f aca="false">L7*(1+Asumsi!M11)</f>
        <v>207871297704.616</v>
      </c>
    </row>
    <row r="8" customFormat="false" ht="15" hidden="false" customHeight="false" outlineLevel="0" collapsed="false">
      <c r="A8" s="54" t="s">
        <v>326</v>
      </c>
      <c r="B8" s="13" t="s">
        <v>327</v>
      </c>
      <c r="C8" s="61"/>
      <c r="D8" s="50" t="n">
        <f aca="false">Schedules!D8+Schedules!D9</f>
        <v>-34795107445</v>
      </c>
      <c r="E8" s="50" t="n">
        <f aca="false">Schedules!E8+Schedules!E9</f>
        <v>-26455466569</v>
      </c>
      <c r="F8" s="50" t="n">
        <f aca="false">Schedules!F8+Schedules!F9</f>
        <v>0</v>
      </c>
      <c r="G8" s="50" t="n">
        <f aca="false">Schedules!G8+Schedules!G9</f>
        <v>0</v>
      </c>
      <c r="H8" s="50" t="n">
        <f aca="false">Schedules!H8+Schedules!H9</f>
        <v>97800000000</v>
      </c>
      <c r="I8" s="63" t="n">
        <f aca="false">0</f>
        <v>0</v>
      </c>
      <c r="J8" s="63" t="n">
        <f aca="false">0</f>
        <v>0</v>
      </c>
      <c r="K8" s="63" t="n">
        <f aca="false">0</f>
        <v>0</v>
      </c>
      <c r="L8" s="63" t="n">
        <f aca="false">0</f>
        <v>0</v>
      </c>
      <c r="M8" s="63" t="n">
        <f aca="false">0</f>
        <v>0</v>
      </c>
      <c r="N8" s="15" t="s">
        <v>328</v>
      </c>
    </row>
    <row r="9" customFormat="false" ht="15" hidden="false" customHeight="false" outlineLevel="0" collapsed="false">
      <c r="A9" s="64" t="s">
        <v>329</v>
      </c>
      <c r="B9" s="65" t="s">
        <v>136</v>
      </c>
      <c r="C9" s="66" t="n">
        <f aca="false">IS!C6</f>
        <v>216296095571</v>
      </c>
      <c r="D9" s="66" t="n">
        <f aca="false">IS!D6</f>
        <v>290934356126</v>
      </c>
      <c r="E9" s="66" t="n">
        <f aca="false">IS!E6</f>
        <v>233970724609</v>
      </c>
      <c r="F9" s="66" t="n">
        <f aca="false">IS!F6</f>
        <v>242680799183</v>
      </c>
      <c r="G9" s="66" t="n">
        <f aca="false">IS!G6</f>
        <v>319022410802</v>
      </c>
      <c r="H9" s="66" t="n">
        <f aca="false">IS!H6</f>
        <v>439751605228</v>
      </c>
      <c r="I9" s="67" t="n">
        <f aca="false">I6+I7+I8</f>
        <v>386086261050.01</v>
      </c>
      <c r="J9" s="67" t="n">
        <f aca="false">J6+J7+J8</f>
        <v>435982145049.859</v>
      </c>
      <c r="K9" s="67" t="n">
        <f aca="false">K6+K7+K8</f>
        <v>492400365030.767</v>
      </c>
      <c r="L9" s="67" t="n">
        <f aca="false">L6+L7+L8</f>
        <v>556203825795.622</v>
      </c>
      <c r="M9" s="67" t="n">
        <f aca="false">M6+M7+M8</f>
        <v>628371014396.434</v>
      </c>
    </row>
    <row r="10" customFormat="false" ht="15" hidden="false" customHeight="false" outlineLevel="0" collapsed="false">
      <c r="A10" s="54" t="s">
        <v>330</v>
      </c>
      <c r="B10" s="13" t="s">
        <v>331</v>
      </c>
      <c r="C10" s="59"/>
      <c r="D10" s="68" t="n">
        <f aca="false">D9/C9-1</f>
        <v>0.345074470059029</v>
      </c>
      <c r="E10" s="68" t="n">
        <f aca="false">E9/D9-1</f>
        <v>-0.195795478662306</v>
      </c>
      <c r="F10" s="68" t="n">
        <f aca="false">F9/E9-1</f>
        <v>0.0372271983537933</v>
      </c>
      <c r="G10" s="68" t="n">
        <f aca="false">G9/F9-1</f>
        <v>0.314576232961193</v>
      </c>
      <c r="H10" s="68" t="n">
        <f aca="false">H9/G9-1</f>
        <v>0.378434838237525</v>
      </c>
      <c r="I10" s="69" t="n">
        <f aca="false">I9/H9-1</f>
        <v>-0.12203558449813</v>
      </c>
      <c r="J10" s="69" t="n">
        <f aca="false">J9/I9-1</f>
        <v>0.12923506747987</v>
      </c>
      <c r="K10" s="69" t="n">
        <f aca="false">K9/J9-1</f>
        <v>0.129404886464916</v>
      </c>
      <c r="L10" s="69" t="n">
        <f aca="false">L9/K9-1</f>
        <v>0.129576388029015</v>
      </c>
      <c r="M10" s="69" t="n">
        <f aca="false">M9/L9-1</f>
        <v>0.129749536507738</v>
      </c>
    </row>
    <row r="11" customFormat="false" ht="15" hidden="false" customHeight="false" outlineLevel="0" collapsed="false">
      <c r="A11" s="16"/>
      <c r="B11" s="17" t="s">
        <v>332</v>
      </c>
      <c r="C11" s="16"/>
      <c r="D11" s="16"/>
      <c r="E11" s="16"/>
      <c r="F11" s="16"/>
      <c r="G11" s="16"/>
      <c r="H11" s="16"/>
      <c r="I11" s="16"/>
      <c r="J11" s="16"/>
      <c r="K11" s="16"/>
      <c r="L11" s="16"/>
      <c r="M11" s="16"/>
      <c r="N11" s="16"/>
    </row>
    <row r="12" customFormat="false" ht="15" hidden="false" customHeight="false" outlineLevel="0" collapsed="false">
      <c r="A12" s="54" t="s">
        <v>333</v>
      </c>
      <c r="B12" s="13" t="s">
        <v>204</v>
      </c>
      <c r="C12" s="61"/>
      <c r="D12" s="50" t="n">
        <f aca="false">IS!D7+Schedules!D12</f>
        <v>-127703122398</v>
      </c>
      <c r="E12" s="50" t="n">
        <f aca="false">IS!E7+Schedules!E12</f>
        <v>-114860829484</v>
      </c>
      <c r="F12" s="50" t="n">
        <f aca="false">IS!F7+Schedules!F12</f>
        <v>-131441555891</v>
      </c>
      <c r="G12" s="50" t="n">
        <f aca="false">IS!G7+Schedules!G12</f>
        <v>-188918940570</v>
      </c>
      <c r="H12" s="50" t="n">
        <f aca="false">IS!H7+Schedules!H12</f>
        <v>-198267964153</v>
      </c>
      <c r="I12" s="51" t="n">
        <f aca="false">-I9*Asumsi!I13</f>
        <v>-220069168798.506</v>
      </c>
      <c r="J12" s="51" t="n">
        <f aca="false">-J9*Asumsi!J13</f>
        <v>-248509822678.419</v>
      </c>
      <c r="K12" s="51" t="n">
        <f aca="false">-K9*Asumsi!K13</f>
        <v>-280668208067.537</v>
      </c>
      <c r="L12" s="51" t="n">
        <f aca="false">-L9*Asumsi!L13</f>
        <v>-317036180703.504</v>
      </c>
      <c r="M12" s="51" t="n">
        <f aca="false">-M9*Asumsi!M13</f>
        <v>-358171478205.968</v>
      </c>
    </row>
    <row r="13" customFormat="false" ht="15" hidden="false" customHeight="false" outlineLevel="0" collapsed="false">
      <c r="A13" s="64" t="s">
        <v>334</v>
      </c>
      <c r="B13" s="65" t="s">
        <v>335</v>
      </c>
      <c r="C13" s="70"/>
      <c r="D13" s="67" t="n">
        <f aca="false">D9+D12</f>
        <v>163231233728</v>
      </c>
      <c r="E13" s="67" t="n">
        <f aca="false">E9+E12</f>
        <v>119109895125</v>
      </c>
      <c r="F13" s="67" t="n">
        <f aca="false">F9+F12</f>
        <v>111239243292</v>
      </c>
      <c r="G13" s="67" t="n">
        <f aca="false">G9+G12</f>
        <v>130103470232</v>
      </c>
      <c r="H13" s="67" t="n">
        <f aca="false">H9+H12</f>
        <v>241483641075</v>
      </c>
      <c r="I13" s="67" t="n">
        <f aca="false">I9+I12</f>
        <v>166017092251.504</v>
      </c>
      <c r="J13" s="67" t="n">
        <f aca="false">J9+J12</f>
        <v>187472322371.439</v>
      </c>
      <c r="K13" s="67" t="n">
        <f aca="false">K9+K12</f>
        <v>211732156963.23</v>
      </c>
      <c r="L13" s="67" t="n">
        <f aca="false">L9+L12</f>
        <v>239167645092.117</v>
      </c>
      <c r="M13" s="67" t="n">
        <f aca="false">M9+M12</f>
        <v>270199536190.467</v>
      </c>
    </row>
    <row r="14" customFormat="false" ht="15" hidden="false" customHeight="false" outlineLevel="0" collapsed="false">
      <c r="A14" s="54" t="s">
        <v>336</v>
      </c>
      <c r="B14" s="13" t="s">
        <v>337</v>
      </c>
      <c r="C14" s="61"/>
      <c r="D14" s="50" t="n">
        <f aca="false">IS!D9+Schedules!D13+Schedules!D16+Schedules!D17</f>
        <v>-131835962281</v>
      </c>
      <c r="E14" s="50" t="n">
        <f aca="false">IS!E9+Schedules!E13+Schedules!E16+Schedules!E17</f>
        <v>-156823647433</v>
      </c>
      <c r="F14" s="50" t="n">
        <f aca="false">IS!F9+Schedules!F13+Schedules!F16+Schedules!F17</f>
        <v>-125793052442</v>
      </c>
      <c r="G14" s="50" t="n">
        <f aca="false">IS!G9+Schedules!G13+Schedules!G16+Schedules!G17</f>
        <v>-134515340769</v>
      </c>
      <c r="H14" s="50" t="n">
        <f aca="false">IS!H9+Schedules!H13+Schedules!H16+Schedules!H17</f>
        <v>-145141717485</v>
      </c>
      <c r="I14" s="51" t="n">
        <f aca="false">-I9*Asumsi!I14</f>
        <v>-146712779199.004</v>
      </c>
      <c r="J14" s="51" t="n">
        <f aca="false">-J9*Asumsi!J14</f>
        <v>-165673215118.946</v>
      </c>
      <c r="K14" s="51" t="n">
        <f aca="false">-K9*Asumsi!K14</f>
        <v>-187112138711.691</v>
      </c>
      <c r="L14" s="51" t="n">
        <f aca="false">-L9*Asumsi!L14</f>
        <v>-211357453802.336</v>
      </c>
      <c r="M14" s="51" t="n">
        <f aca="false">-M9*Asumsi!M14</f>
        <v>-238780985470.645</v>
      </c>
    </row>
    <row r="15" customFormat="false" ht="15" hidden="false" customHeight="false" outlineLevel="0" collapsed="false">
      <c r="A15" s="64" t="s">
        <v>338</v>
      </c>
      <c r="B15" s="65" t="s">
        <v>106</v>
      </c>
      <c r="C15" s="70"/>
      <c r="D15" s="67" t="n">
        <f aca="false">D13+D14</f>
        <v>31395271447</v>
      </c>
      <c r="E15" s="67" t="n">
        <f aca="false">E13+E14</f>
        <v>-37713752308</v>
      </c>
      <c r="F15" s="67" t="n">
        <f aca="false">F13+F14</f>
        <v>-14553809150</v>
      </c>
      <c r="G15" s="67" t="n">
        <f aca="false">G13+G14</f>
        <v>-4411870537</v>
      </c>
      <c r="H15" s="67" t="n">
        <f aca="false">H13+H14</f>
        <v>96341923590</v>
      </c>
      <c r="I15" s="67" t="n">
        <f aca="false">I13+I14</f>
        <v>19304313052.5005</v>
      </c>
      <c r="J15" s="67" t="n">
        <f aca="false">J13+J14</f>
        <v>21799107252.493</v>
      </c>
      <c r="K15" s="67" t="n">
        <f aca="false">K13+K14</f>
        <v>24620018251.5384</v>
      </c>
      <c r="L15" s="67" t="n">
        <f aca="false">L13+L14</f>
        <v>27810191289.7811</v>
      </c>
      <c r="M15" s="67" t="n">
        <f aca="false">M13+M14</f>
        <v>31418550719.8217</v>
      </c>
      <c r="N15" s="15" t="s">
        <v>339</v>
      </c>
    </row>
    <row r="16" customFormat="false" ht="15" hidden="false" customHeight="false" outlineLevel="0" collapsed="false">
      <c r="A16" s="54" t="s">
        <v>340</v>
      </c>
      <c r="B16" s="13" t="s">
        <v>341</v>
      </c>
      <c r="C16" s="61"/>
      <c r="D16" s="50" t="n">
        <f aca="false">-Schedules!D18</f>
        <v>-17297314280</v>
      </c>
      <c r="E16" s="50" t="n">
        <f aca="false">-Schedules!E18</f>
        <v>-22877629559</v>
      </c>
      <c r="F16" s="50" t="n">
        <f aca="false">-Schedules!F18</f>
        <v>-21584974350</v>
      </c>
      <c r="G16" s="50" t="n">
        <f aca="false">-Schedules!G18</f>
        <v>-25515756073</v>
      </c>
      <c r="H16" s="50" t="n">
        <f aca="false">-Schedules!H18</f>
        <v>-26326052136</v>
      </c>
      <c r="I16" s="51" t="n">
        <f aca="false">-(Schedules_Proj!I9+Schedules_Proj!I13)</f>
        <v>-24217182616.4188</v>
      </c>
      <c r="J16" s="51" t="n">
        <f aca="false">-(Schedules_Proj!J9+Schedules_Proj!J13)</f>
        <v>-24266538531.5989</v>
      </c>
      <c r="K16" s="51" t="n">
        <f aca="false">-(Schedules_Proj!K9+Schedules_Proj!K13)</f>
        <v>-24345067576.3346</v>
      </c>
      <c r="L16" s="51" t="n">
        <f aca="false">-(Schedules_Proj!L9+Schedules_Proj!L13)</f>
        <v>-24456415092.3679</v>
      </c>
      <c r="M16" s="51" t="n">
        <f aca="false">-(Schedules_Proj!M9+Schedules_Proj!M13)</f>
        <v>-24604710285.5554</v>
      </c>
    </row>
    <row r="17" customFormat="false" ht="15" hidden="false" customHeight="false" outlineLevel="0" collapsed="false">
      <c r="A17" s="64" t="s">
        <v>342</v>
      </c>
      <c r="B17" s="65" t="s">
        <v>343</v>
      </c>
      <c r="C17" s="66" t="n">
        <f aca="false">IS!C10</f>
        <v>-15517181073</v>
      </c>
      <c r="D17" s="67" t="n">
        <f aca="false">D15+D16</f>
        <v>14097957167</v>
      </c>
      <c r="E17" s="67" t="n">
        <f aca="false">E15+E16</f>
        <v>-60591381867</v>
      </c>
      <c r="F17" s="67" t="n">
        <f aca="false">F15+F16</f>
        <v>-36138783500</v>
      </c>
      <c r="G17" s="67" t="n">
        <f aca="false">G15+G16</f>
        <v>-29927626610</v>
      </c>
      <c r="H17" s="67" t="n">
        <f aca="false">H15+H16</f>
        <v>70015871454</v>
      </c>
      <c r="I17" s="67" t="n">
        <f aca="false">I15+I16</f>
        <v>-4912869563.91828</v>
      </c>
      <c r="J17" s="67" t="n">
        <f aca="false">J15+J16</f>
        <v>-2467431279.10593</v>
      </c>
      <c r="K17" s="67" t="n">
        <f aca="false">K15+K16</f>
        <v>274950675.20377</v>
      </c>
      <c r="L17" s="67" t="n">
        <f aca="false">L15+L16</f>
        <v>3353776197.4132</v>
      </c>
      <c r="M17" s="67" t="n">
        <f aca="false">M15+M16</f>
        <v>6813840434.26633</v>
      </c>
      <c r="N17" s="15" t="s">
        <v>344</v>
      </c>
    </row>
    <row r="18" customFormat="false" ht="15" hidden="false" customHeight="false" outlineLevel="0" collapsed="false">
      <c r="A18" s="54" t="s">
        <v>345</v>
      </c>
      <c r="B18" s="13" t="s">
        <v>346</v>
      </c>
      <c r="C18" s="50" t="n">
        <f aca="false">IS!C12</f>
        <v>532768164</v>
      </c>
      <c r="D18" s="50" t="n">
        <f aca="false">IS!D12</f>
        <v>2465367652</v>
      </c>
      <c r="E18" s="50" t="n">
        <f aca="false">IS!E12</f>
        <v>25636825732</v>
      </c>
      <c r="F18" s="50" t="n">
        <f aca="false">IS!F12</f>
        <v>250325287</v>
      </c>
      <c r="G18" s="50" t="n">
        <f aca="false">IS!G12</f>
        <v>25235874672</v>
      </c>
      <c r="H18" s="50" t="n">
        <f aca="false">IS!H12</f>
        <v>2857036197</v>
      </c>
      <c r="I18" s="51" t="n">
        <f aca="false">I9*Asumsi!I15</f>
        <v>1930431305.25005</v>
      </c>
      <c r="J18" s="51" t="n">
        <f aca="false">J9*Asumsi!J15</f>
        <v>2179910725.24929</v>
      </c>
      <c r="K18" s="51" t="n">
        <f aca="false">K9*Asumsi!K15</f>
        <v>2462001825.15383</v>
      </c>
      <c r="L18" s="51" t="n">
        <f aca="false">L9*Asumsi!L15</f>
        <v>2781019128.97811</v>
      </c>
      <c r="M18" s="51" t="n">
        <f aca="false">M9*Asumsi!M15</f>
        <v>3141855071.98217</v>
      </c>
    </row>
    <row r="19" customFormat="false" ht="15" hidden="false" customHeight="false" outlineLevel="0" collapsed="false">
      <c r="A19" s="54" t="s">
        <v>347</v>
      </c>
      <c r="B19" s="13" t="s">
        <v>348</v>
      </c>
      <c r="C19" s="50" t="n">
        <f aca="false">IS!C13</f>
        <v>40428301431</v>
      </c>
      <c r="D19" s="50" t="n">
        <f aca="false">IS!D13</f>
        <v>15781938577</v>
      </c>
      <c r="E19" s="50" t="n">
        <f aca="false">IS!E13</f>
        <v>31784929332</v>
      </c>
      <c r="F19" s="50" t="n">
        <f aca="false">IS!F13</f>
        <v>6623274915</v>
      </c>
      <c r="G19" s="50" t="n">
        <f aca="false">IS!G13</f>
        <v>6242710845</v>
      </c>
      <c r="H19" s="50" t="n">
        <f aca="false">IS!H13</f>
        <v>15555391585</v>
      </c>
      <c r="I19" s="51" t="n">
        <f aca="false">BS_Proj!H6*Asumsi!I28</f>
        <v>8236000257.3548</v>
      </c>
      <c r="J19" s="51" t="n">
        <f aca="false">BS_Proj!I6*Asumsi!J28</f>
        <v>6398631543.75326</v>
      </c>
      <c r="K19" s="51" t="n">
        <f aca="false">BS_Proj!J6*Asumsi!K28</f>
        <v>4547530042.34577</v>
      </c>
      <c r="L19" s="51" t="n">
        <f aca="false">BS_Proj!K6*Asumsi!L28</f>
        <v>2625280064.4559</v>
      </c>
      <c r="M19" s="51" t="n">
        <f aca="false">BS_Proj!L6*Asumsi!M28</f>
        <v>625912867.023738</v>
      </c>
      <c r="N19" s="15" t="s">
        <v>349</v>
      </c>
    </row>
    <row r="20" customFormat="false" ht="15" hidden="false" customHeight="false" outlineLevel="0" collapsed="false">
      <c r="A20" s="54" t="s">
        <v>350</v>
      </c>
      <c r="B20" s="13" t="s">
        <v>351</v>
      </c>
      <c r="C20" s="50" t="n">
        <f aca="false">IS!C14</f>
        <v>-11651080910</v>
      </c>
      <c r="D20" s="50" t="n">
        <f aca="false">IS!D14</f>
        <v>-25838724542</v>
      </c>
      <c r="E20" s="50" t="n">
        <f aca="false">IS!E14</f>
        <v>-90146332117</v>
      </c>
      <c r="F20" s="50" t="n">
        <f aca="false">IS!F14</f>
        <v>-76857656488</v>
      </c>
      <c r="G20" s="50" t="n">
        <f aca="false">IS!G14</f>
        <v>-77315017008</v>
      </c>
      <c r="H20" s="50" t="n">
        <f aca="false">IS!H14</f>
        <v>-80356964083</v>
      </c>
      <c r="I20" s="51" t="n">
        <f aca="false">-Schedules_Proj!I24*Asumsi!I27</f>
        <v>-87124256377.5888</v>
      </c>
      <c r="J20" s="51" t="n">
        <f aca="false">-Schedules_Proj!J24*Asumsi!J27</f>
        <v>-87124256377.5888</v>
      </c>
      <c r="K20" s="51" t="n">
        <f aca="false">-Schedules_Proj!K24*Asumsi!K27</f>
        <v>-87124256377.5888</v>
      </c>
      <c r="L20" s="51" t="n">
        <f aca="false">-Schedules_Proj!L24*Asumsi!L27</f>
        <v>-87124256377.5888</v>
      </c>
      <c r="M20" s="51" t="n">
        <f aca="false">-Schedules_Proj!M24*Asumsi!M27</f>
        <v>-87124256377.5888</v>
      </c>
      <c r="N20" s="15" t="s">
        <v>352</v>
      </c>
    </row>
    <row r="21" customFormat="false" ht="15" hidden="false" customHeight="false" outlineLevel="0" collapsed="false">
      <c r="A21" s="64" t="s">
        <v>353</v>
      </c>
      <c r="B21" s="65" t="s">
        <v>354</v>
      </c>
      <c r="C21" s="67" t="n">
        <f aca="false">C17+C18+C19+C20</f>
        <v>13792807612</v>
      </c>
      <c r="D21" s="67" t="n">
        <f aca="false">D17+D18+D19+D20</f>
        <v>6506538854</v>
      </c>
      <c r="E21" s="67" t="n">
        <f aca="false">E17+E18+E19+E20</f>
        <v>-93315958920</v>
      </c>
      <c r="F21" s="67" t="n">
        <f aca="false">F17+F18+F19+F20</f>
        <v>-106122839786</v>
      </c>
      <c r="G21" s="67" t="n">
        <f aca="false">G17+G18+G19+G20</f>
        <v>-75764058101</v>
      </c>
      <c r="H21" s="67" t="n">
        <f aca="false">H17+H18+H19+H20</f>
        <v>8071335153</v>
      </c>
      <c r="I21" s="67" t="n">
        <f aca="false">I17+I18+I19+I20</f>
        <v>-81870694378.9022</v>
      </c>
      <c r="J21" s="67" t="n">
        <f aca="false">J17+J18+J19+J20</f>
        <v>-81013145387.6922</v>
      </c>
      <c r="K21" s="67" t="n">
        <f aca="false">K17+K18+K19+K20</f>
        <v>-79839773834.8854</v>
      </c>
      <c r="L21" s="67" t="n">
        <f aca="false">L17+L18+L19+L20</f>
        <v>-78364180986.7416</v>
      </c>
      <c r="M21" s="67" t="n">
        <f aca="false">M17+M18+M19+M20</f>
        <v>-76542648004.3166</v>
      </c>
    </row>
    <row r="22" customFormat="false" ht="15" hidden="false" customHeight="false" outlineLevel="0" collapsed="false">
      <c r="A22" s="54" t="s">
        <v>355</v>
      </c>
      <c r="B22" s="13" t="s">
        <v>356</v>
      </c>
      <c r="C22" s="50" t="n">
        <f aca="false">IS!C16</f>
        <v>375143524</v>
      </c>
      <c r="D22" s="50" t="n">
        <f aca="false">IS!D16</f>
        <v>-332914077</v>
      </c>
      <c r="E22" s="50" t="n">
        <f aca="false">IS!E16</f>
        <v>-288463386</v>
      </c>
      <c r="F22" s="50" t="n">
        <f aca="false">IS!F16</f>
        <v>-4566022109</v>
      </c>
      <c r="G22" s="50" t="n">
        <f aca="false">IS!G16</f>
        <v>-4153162003</v>
      </c>
      <c r="H22" s="50" t="n">
        <f aca="false">IS!H16</f>
        <v>-2925769032</v>
      </c>
      <c r="I22" s="51" t="n">
        <f aca="false">-MAX(I21,0)*Asumsi!I26</f>
        <v>-0</v>
      </c>
      <c r="J22" s="51" t="n">
        <f aca="false">-MAX(J21,0)*Asumsi!J26</f>
        <v>-0</v>
      </c>
      <c r="K22" s="51" t="n">
        <f aca="false">-MAX(K21,0)*Asumsi!K26</f>
        <v>-0</v>
      </c>
      <c r="L22" s="51" t="n">
        <f aca="false">-MAX(L21,0)*Asumsi!L26</f>
        <v>-0</v>
      </c>
      <c r="M22" s="51" t="n">
        <f aca="false">-MAX(M21,0)*Asumsi!M26</f>
        <v>-0</v>
      </c>
    </row>
    <row r="23" customFormat="false" ht="15" hidden="false" customHeight="false" outlineLevel="0" collapsed="false">
      <c r="A23" s="64" t="s">
        <v>357</v>
      </c>
      <c r="B23" s="65" t="s">
        <v>141</v>
      </c>
      <c r="C23" s="67" t="n">
        <f aca="false">C21+C22</f>
        <v>14167951136</v>
      </c>
      <c r="D23" s="67" t="n">
        <f aca="false">D21+D22</f>
        <v>6173624777</v>
      </c>
      <c r="E23" s="67" t="n">
        <f aca="false">E21+E22</f>
        <v>-93604422306</v>
      </c>
      <c r="F23" s="67" t="n">
        <f aca="false">F21+F22</f>
        <v>-110688861895</v>
      </c>
      <c r="G23" s="67" t="n">
        <f aca="false">G21+G22</f>
        <v>-79917220104</v>
      </c>
      <c r="H23" s="67" t="n">
        <f aca="false">H21+H22</f>
        <v>5145566121</v>
      </c>
      <c r="I23" s="67" t="n">
        <f aca="false">I21+I22</f>
        <v>-81870694378.9022</v>
      </c>
      <c r="J23" s="67" t="n">
        <f aca="false">J21+J22</f>
        <v>-81013145387.6922</v>
      </c>
      <c r="K23" s="67" t="n">
        <f aca="false">K21+K22</f>
        <v>-79839773834.8854</v>
      </c>
      <c r="L23" s="67" t="n">
        <f aca="false">L21+L22</f>
        <v>-78364180986.7416</v>
      </c>
      <c r="M23" s="67" t="n">
        <f aca="false">M21+M22</f>
        <v>-76542648004.3166</v>
      </c>
    </row>
    <row r="24" customFormat="false" ht="15" hidden="false" customHeight="false" outlineLevel="0" collapsed="false">
      <c r="A24" s="54" t="s">
        <v>358</v>
      </c>
      <c r="B24" s="13" t="s">
        <v>359</v>
      </c>
      <c r="C24" s="50" t="n">
        <f aca="false">IS!C25</f>
        <v>-144891428</v>
      </c>
      <c r="D24" s="50" t="n">
        <f aca="false">IS!D25</f>
        <v>74430906</v>
      </c>
      <c r="E24" s="50" t="n">
        <f aca="false">IS!E25</f>
        <v>-60525313</v>
      </c>
      <c r="F24" s="50" t="n">
        <f aca="false">IS!F25</f>
        <v>230926912</v>
      </c>
      <c r="G24" s="50" t="n">
        <f aca="false">IS!G25</f>
        <v>391961217</v>
      </c>
      <c r="H24" s="50" t="n">
        <f aca="false">IS!H25</f>
        <v>192847813</v>
      </c>
      <c r="I24" s="51" t="n">
        <f aca="false">I23*Asumsi!I31</f>
        <v>-3029215692.01938</v>
      </c>
      <c r="J24" s="51" t="n">
        <f aca="false">J23*Asumsi!J31</f>
        <v>-2997486379.34461</v>
      </c>
      <c r="K24" s="51" t="n">
        <f aca="false">K23*Asumsi!K31</f>
        <v>-2954071631.89076</v>
      </c>
      <c r="L24" s="51" t="n">
        <f aca="false">L23*Asumsi!L31</f>
        <v>-2899474696.50944</v>
      </c>
      <c r="M24" s="51" t="n">
        <f aca="false">M23*Asumsi!M31</f>
        <v>-2832077976.15971</v>
      </c>
    </row>
    <row r="25" customFormat="false" ht="15" hidden="false" customHeight="false" outlineLevel="0" collapsed="false">
      <c r="A25" s="64" t="s">
        <v>360</v>
      </c>
      <c r="B25" s="65" t="s">
        <v>361</v>
      </c>
      <c r="C25" s="67" t="n">
        <f aca="false">C23-C24</f>
        <v>14312842564</v>
      </c>
      <c r="D25" s="67" t="n">
        <f aca="false">D23-D24</f>
        <v>6099193871</v>
      </c>
      <c r="E25" s="67" t="n">
        <f aca="false">E23-E24</f>
        <v>-93543896993</v>
      </c>
      <c r="F25" s="67" t="n">
        <f aca="false">F23-F24</f>
        <v>-110919788807</v>
      </c>
      <c r="G25" s="67" t="n">
        <f aca="false">G23-G24</f>
        <v>-80309181321</v>
      </c>
      <c r="H25" s="67" t="n">
        <f aca="false">H23-H24</f>
        <v>4952718308</v>
      </c>
      <c r="I25" s="67" t="n">
        <f aca="false">I23-I24</f>
        <v>-78841478686.8829</v>
      </c>
      <c r="J25" s="67" t="n">
        <f aca="false">J23-J24</f>
        <v>-78015659008.3476</v>
      </c>
      <c r="K25" s="67" t="n">
        <f aca="false">K23-K24</f>
        <v>-76885702202.9947</v>
      </c>
      <c r="L25" s="67" t="n">
        <f aca="false">L23-L24</f>
        <v>-75464706290.2322</v>
      </c>
      <c r="M25" s="67" t="n">
        <f aca="false">M23-M24</f>
        <v>-73710570028.1569</v>
      </c>
    </row>
    <row r="26" customFormat="false" ht="15" hidden="false" customHeight="false" outlineLevel="0" collapsed="false">
      <c r="A26" s="54" t="s">
        <v>362</v>
      </c>
      <c r="B26" s="13" t="s">
        <v>363</v>
      </c>
      <c r="C26" s="71" t="n">
        <f aca="false">C25/Asumsi!$C$110</f>
        <v>0.430461430496241</v>
      </c>
      <c r="D26" s="71" t="n">
        <f aca="false">D25/Asumsi!$C$110</f>
        <v>0.183434402135338</v>
      </c>
      <c r="E26" s="71" t="n">
        <f aca="false">E25/Asumsi!$C$110</f>
        <v>-2.81335028550376</v>
      </c>
      <c r="F26" s="71" t="n">
        <f aca="false">F25/Asumsi!$C$110</f>
        <v>-3.33593349795489</v>
      </c>
      <c r="G26" s="71" t="n">
        <f aca="false">G25/Asumsi!$C$110</f>
        <v>-2.41531372393985</v>
      </c>
      <c r="H26" s="71" t="n">
        <f aca="false">H25/Asumsi!$C$110</f>
        <v>0.148953934075188</v>
      </c>
      <c r="I26" s="72" t="n">
        <f aca="false">I25/Asumsi!$C$110</f>
        <v>-2.37117229133482</v>
      </c>
      <c r="J26" s="72" t="n">
        <f aca="false">J25/Asumsi!$C$110</f>
        <v>-2.34633560927361</v>
      </c>
      <c r="K26" s="72" t="n">
        <f aca="false">K25/Asumsi!$C$110</f>
        <v>-2.31235194595473</v>
      </c>
      <c r="L26" s="72" t="n">
        <f aca="false">L25/Asumsi!$C$110</f>
        <v>-2.2696152267739</v>
      </c>
      <c r="M26" s="72" t="n">
        <f aca="false">M25/Asumsi!$C$110</f>
        <v>-2.21685924896712</v>
      </c>
      <c r="N26" s="15" t="s">
        <v>364</v>
      </c>
    </row>
    <row r="27" customFormat="false" ht="15" hidden="false" customHeight="false" outlineLevel="0" collapsed="false">
      <c r="A27" s="16"/>
      <c r="B27" s="17" t="s">
        <v>365</v>
      </c>
      <c r="C27" s="16"/>
      <c r="D27" s="16"/>
      <c r="E27" s="16"/>
      <c r="F27" s="16"/>
      <c r="G27" s="16"/>
      <c r="H27" s="16"/>
      <c r="I27" s="16"/>
      <c r="J27" s="16"/>
      <c r="K27" s="16"/>
      <c r="L27" s="16"/>
      <c r="M27" s="16"/>
      <c r="N27" s="16"/>
    </row>
    <row r="28" customFormat="false" ht="15" hidden="false" customHeight="false" outlineLevel="0" collapsed="false">
      <c r="A28" s="54" t="s">
        <v>366</v>
      </c>
      <c r="B28" s="13" t="s">
        <v>367</v>
      </c>
      <c r="C28" s="59"/>
      <c r="D28" s="68" t="n">
        <f aca="false">D13/D9</f>
        <v>0.561058638455565</v>
      </c>
      <c r="E28" s="68" t="n">
        <f aca="false">E13/E9</f>
        <v>0.509080336114915</v>
      </c>
      <c r="F28" s="68" t="n">
        <f aca="false">F13/F9</f>
        <v>0.458376779978036</v>
      </c>
      <c r="G28" s="68" t="n">
        <f aca="false">G13/G9</f>
        <v>0.407819218420828</v>
      </c>
      <c r="H28" s="68" t="n">
        <f aca="false">H13/H9</f>
        <v>0.549136462957985</v>
      </c>
      <c r="I28" s="69" t="n">
        <f aca="false">I13/I9</f>
        <v>0.43</v>
      </c>
      <c r="J28" s="69" t="n">
        <f aca="false">J13/J9</f>
        <v>0.43</v>
      </c>
      <c r="K28" s="69" t="n">
        <f aca="false">K13/K9</f>
        <v>0.43</v>
      </c>
      <c r="L28" s="69" t="n">
        <f aca="false">L13/L9</f>
        <v>0.43</v>
      </c>
      <c r="M28" s="69" t="n">
        <f aca="false">M13/M9</f>
        <v>0.43</v>
      </c>
    </row>
    <row r="29" customFormat="false" ht="15" hidden="false" customHeight="false" outlineLevel="0" collapsed="false">
      <c r="A29" s="54" t="s">
        <v>368</v>
      </c>
      <c r="B29" s="13" t="s">
        <v>178</v>
      </c>
      <c r="C29" s="59"/>
      <c r="D29" s="68" t="n">
        <f aca="false">D15/D9</f>
        <v>0.107911873540996</v>
      </c>
      <c r="E29" s="68" t="n">
        <f aca="false">E15/E9</f>
        <v>-0.161190047904606</v>
      </c>
      <c r="F29" s="68" t="n">
        <f aca="false">F15/F9</f>
        <v>-0.0599709956411727</v>
      </c>
      <c r="G29" s="68" t="n">
        <f aca="false">G15/G9</f>
        <v>-0.0138293436060146</v>
      </c>
      <c r="H29" s="68" t="n">
        <f aca="false">H15/H9</f>
        <v>0.219082596731055</v>
      </c>
      <c r="I29" s="69" t="n">
        <f aca="false">I15/I9</f>
        <v>0.05</v>
      </c>
      <c r="J29" s="69" t="n">
        <f aca="false">J15/J9</f>
        <v>0.0500000000000001</v>
      </c>
      <c r="K29" s="69" t="n">
        <f aca="false">K15/K9</f>
        <v>0.0500000000000001</v>
      </c>
      <c r="L29" s="69" t="n">
        <f aca="false">L15/L9</f>
        <v>0.0500000000000001</v>
      </c>
      <c r="M29" s="69" t="n">
        <f aca="false">M15/M9</f>
        <v>0.0500000000000001</v>
      </c>
    </row>
    <row r="30" customFormat="false" ht="15" hidden="false" customHeight="false" outlineLevel="0" collapsed="false">
      <c r="A30" s="54" t="s">
        <v>369</v>
      </c>
      <c r="B30" s="13" t="s">
        <v>370</v>
      </c>
      <c r="C30" s="68" t="n">
        <f aca="false">C17/C9</f>
        <v>-0.0717404585230085</v>
      </c>
      <c r="D30" s="68" t="n">
        <f aca="false">D17/D9</f>
        <v>0.048457519265598</v>
      </c>
      <c r="E30" s="68" t="n">
        <f aca="false">E17/E9</f>
        <v>-0.258969928687691</v>
      </c>
      <c r="F30" s="68" t="n">
        <f aca="false">F17/F9</f>
        <v>-0.148914885815703</v>
      </c>
      <c r="G30" s="68" t="n">
        <f aca="false">G17/G9</f>
        <v>-0.0938104208251829</v>
      </c>
      <c r="H30" s="68" t="n">
        <f aca="false">H17/H9</f>
        <v>0.159216863842256</v>
      </c>
      <c r="I30" s="69" t="n">
        <f aca="false">I17/I9</f>
        <v>-0.0127247976930262</v>
      </c>
      <c r="J30" s="69" t="n">
        <f aca="false">J17/J9</f>
        <v>-0.00565947781834908</v>
      </c>
      <c r="K30" s="69" t="n">
        <f aca="false">K17/K9</f>
        <v>0.000558388447146236</v>
      </c>
      <c r="L30" s="69" t="n">
        <f aca="false">L17/L9</f>
        <v>0.00602976110891684</v>
      </c>
      <c r="M30" s="69" t="n">
        <f aca="false">M17/M9</f>
        <v>0.0108436580907717</v>
      </c>
    </row>
    <row r="31" customFormat="false" ht="15" hidden="false" customHeight="false" outlineLevel="0" collapsed="false">
      <c r="A31" s="54" t="s">
        <v>371</v>
      </c>
      <c r="B31" s="13" t="s">
        <v>372</v>
      </c>
      <c r="C31" s="68" t="n">
        <f aca="false">C23/C9</f>
        <v>0.0655025746007945</v>
      </c>
      <c r="D31" s="68" t="n">
        <f aca="false">D23/D9</f>
        <v>0.0212199922319462</v>
      </c>
      <c r="E31" s="68" t="n">
        <f aca="false">E23/E9</f>
        <v>-0.400068950773337</v>
      </c>
      <c r="F31" s="68" t="n">
        <f aca="false">F23/F9</f>
        <v>-0.456108856850814</v>
      </c>
      <c r="G31" s="68" t="n">
        <f aca="false">G23/G9</f>
        <v>-0.250506602038063</v>
      </c>
      <c r="H31" s="68" t="n">
        <f aca="false">H23/H9</f>
        <v>0.011701074105988</v>
      </c>
      <c r="I31" s="69" t="n">
        <f aca="false">I23/I9</f>
        <v>-0.212052856157701</v>
      </c>
      <c r="J31" s="69" t="n">
        <f aca="false">J23/J9</f>
        <v>-0.185817576034972</v>
      </c>
      <c r="K31" s="69" t="n">
        <f aca="false">K23/K9</f>
        <v>-0.162144018373944</v>
      </c>
      <c r="L31" s="69" t="n">
        <f aca="false">L23/L9</f>
        <v>-0.140891121837656</v>
      </c>
      <c r="M31" s="69" t="n">
        <f aca="false">M23/M9</f>
        <v>-0.121811232935112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373</v>
      </c>
    </row>
    <row r="2" customFormat="false" ht="15" hidden="false" customHeight="false" outlineLevel="0" collapsed="false">
      <c r="A2" s="15" t="s">
        <v>316</v>
      </c>
    </row>
    <row r="3" customFormat="false" ht="15" hidden="false" customHeight="false" outlineLevel="0" collapsed="false">
      <c r="A3" s="4" t="s">
        <v>170</v>
      </c>
      <c r="C3" s="42" t="str">
        <f aca="false">Asumsi!C4</f>
        <v>Base</v>
      </c>
      <c r="I3" s="15" t="s">
        <v>317</v>
      </c>
      <c r="J3" s="15" t="s">
        <v>317</v>
      </c>
      <c r="K3" s="15" t="s">
        <v>317</v>
      </c>
      <c r="L3" s="15" t="s">
        <v>317</v>
      </c>
      <c r="M3" s="15" t="s">
        <v>317</v>
      </c>
    </row>
    <row r="4" customFormat="false" ht="15" hidden="false" customHeight="false" outlineLevel="0" collapsed="false">
      <c r="A4" s="25" t="s">
        <v>318</v>
      </c>
      <c r="B4" s="25" t="s">
        <v>319</v>
      </c>
      <c r="C4" s="25" t="s">
        <v>130</v>
      </c>
      <c r="D4" s="25" t="s">
        <v>131</v>
      </c>
      <c r="E4" s="25" t="s">
        <v>132</v>
      </c>
      <c r="F4" s="25" t="s">
        <v>133</v>
      </c>
      <c r="G4" s="25" t="s">
        <v>134</v>
      </c>
      <c r="H4" s="25" t="s">
        <v>135</v>
      </c>
      <c r="I4" s="43" t="s">
        <v>171</v>
      </c>
      <c r="J4" s="43" t="s">
        <v>172</v>
      </c>
      <c r="K4" s="43" t="s">
        <v>173</v>
      </c>
      <c r="L4" s="43" t="s">
        <v>174</v>
      </c>
      <c r="M4" s="43" t="s">
        <v>175</v>
      </c>
      <c r="N4" s="25" t="s">
        <v>320</v>
      </c>
    </row>
    <row r="5" customFormat="false" ht="15" hidden="false" customHeight="false" outlineLevel="0" collapsed="false">
      <c r="A5" s="16"/>
      <c r="B5" s="17" t="s">
        <v>374</v>
      </c>
      <c r="C5" s="16"/>
      <c r="D5" s="16"/>
      <c r="E5" s="16"/>
      <c r="F5" s="16"/>
      <c r="G5" s="16"/>
      <c r="H5" s="16"/>
      <c r="I5" s="16"/>
      <c r="J5" s="16"/>
      <c r="K5" s="16"/>
      <c r="L5" s="16"/>
      <c r="M5" s="16"/>
      <c r="N5" s="16"/>
    </row>
    <row r="6" customFormat="false" ht="15" hidden="false" customHeight="false" outlineLevel="0" collapsed="false">
      <c r="A6" s="54" t="s">
        <v>375</v>
      </c>
      <c r="B6" s="13" t="s">
        <v>376</v>
      </c>
      <c r="C6" s="50" t="n">
        <f aca="false">BS!C6</f>
        <v>525479693804</v>
      </c>
      <c r="D6" s="50" t="n">
        <f aca="false">BS!D6</f>
        <v>542400475238</v>
      </c>
      <c r="E6" s="50" t="n">
        <f aca="false">BS!E6</f>
        <v>533208033479</v>
      </c>
      <c r="F6" s="50" t="n">
        <f aca="false">BS!F6</f>
        <v>525762948837</v>
      </c>
      <c r="G6" s="50" t="n">
        <f aca="false">BS!G6</f>
        <v>449069663731</v>
      </c>
      <c r="H6" s="50" t="n">
        <f aca="false">BS!H6</f>
        <v>420204094763</v>
      </c>
      <c r="I6" s="51" t="n">
        <f aca="false">CF_Proj!I24</f>
        <v>326460793048.636</v>
      </c>
      <c r="J6" s="51" t="n">
        <f aca="false">CF_Proj!J24</f>
        <v>232016838895.192</v>
      </c>
      <c r="K6" s="51" t="n">
        <f aca="false">CF_Proj!K24</f>
        <v>133942860431.423</v>
      </c>
      <c r="L6" s="51" t="n">
        <f aca="false">CF_Proj!L24</f>
        <v>31934329950.1907</v>
      </c>
      <c r="M6" s="51" t="n">
        <f aca="false">CF_Proj!M24</f>
        <v>-74350240780.4187</v>
      </c>
      <c r="N6" s="15" t="s">
        <v>377</v>
      </c>
    </row>
    <row r="7" customFormat="false" ht="15" hidden="false" customHeight="false" outlineLevel="0" collapsed="false">
      <c r="A7" s="54" t="s">
        <v>378</v>
      </c>
      <c r="B7" s="13" t="s">
        <v>379</v>
      </c>
      <c r="C7" s="50" t="n">
        <f aca="false">BS!C8</f>
        <v>46315632063</v>
      </c>
      <c r="D7" s="50" t="n">
        <f aca="false">BS!D8</f>
        <v>43418562083</v>
      </c>
      <c r="E7" s="50" t="n">
        <f aca="false">BS!E8</f>
        <v>19493922195</v>
      </c>
      <c r="F7" s="50" t="n">
        <f aca="false">BS!F8</f>
        <v>29762970115</v>
      </c>
      <c r="G7" s="50" t="n">
        <f aca="false">BS!G8</f>
        <v>39287099946</v>
      </c>
      <c r="H7" s="50" t="n">
        <f aca="false">BS!H8</f>
        <v>32414715751</v>
      </c>
      <c r="I7" s="51" t="n">
        <f aca="false">Schedules_Proj!I26</f>
        <v>42310823128.7682</v>
      </c>
      <c r="J7" s="51" t="n">
        <f aca="false">Schedules_Proj!J26</f>
        <v>47778865210.9434</v>
      </c>
      <c r="K7" s="51" t="n">
        <f aca="false">Schedules_Proj!K26</f>
        <v>53961683838.9881</v>
      </c>
      <c r="L7" s="51" t="n">
        <f aca="false">Schedules_Proj!L26</f>
        <v>60953843922.8079</v>
      </c>
      <c r="M7" s="51" t="n">
        <f aca="false">Schedules_Proj!M26</f>
        <v>68862576920.1572</v>
      </c>
    </row>
    <row r="8" customFormat="false" ht="15" hidden="false" customHeight="false" outlineLevel="0" collapsed="false">
      <c r="A8" s="54" t="s">
        <v>380</v>
      </c>
      <c r="B8" s="13" t="s">
        <v>381</v>
      </c>
      <c r="C8" s="50" t="n">
        <f aca="false">BS!C10</f>
        <v>6868279382</v>
      </c>
      <c r="D8" s="50" t="n">
        <f aca="false">BS!D10</f>
        <v>6128999612</v>
      </c>
      <c r="E8" s="50" t="n">
        <f aca="false">BS!E10</f>
        <v>3810165323</v>
      </c>
      <c r="F8" s="50" t="n">
        <f aca="false">BS!F10</f>
        <v>4778420963</v>
      </c>
      <c r="G8" s="50" t="n">
        <f aca="false">BS!G10</f>
        <v>6268091785</v>
      </c>
      <c r="H8" s="50" t="n">
        <f aca="false">BS!H10</f>
        <v>5344682837</v>
      </c>
      <c r="I8" s="51" t="n">
        <f aca="false">Schedules_Proj!I27</f>
        <v>6632221525.43442</v>
      </c>
      <c r="J8" s="51" t="n">
        <f aca="false">Schedules_Proj!J27</f>
        <v>7489337121.81538</v>
      </c>
      <c r="K8" s="51" t="n">
        <f aca="false">Schedules_Proj!K27</f>
        <v>8458493941.76138</v>
      </c>
      <c r="L8" s="51" t="n">
        <f aca="false">Schedules_Proj!L27</f>
        <v>9554515034.90013</v>
      </c>
      <c r="M8" s="51" t="n">
        <f aca="false">Schedules_Proj!M27</f>
        <v>10794208932.2346</v>
      </c>
    </row>
    <row r="9" customFormat="false" ht="15" hidden="false" customHeight="false" outlineLevel="0" collapsed="false">
      <c r="A9" s="54" t="s">
        <v>382</v>
      </c>
      <c r="B9" s="13" t="s">
        <v>383</v>
      </c>
      <c r="C9" s="50" t="n">
        <f aca="false">BS!C15-BS!C6-BS!C8-BS!C10</f>
        <v>203189597426</v>
      </c>
      <c r="D9" s="50" t="n">
        <f aca="false">BS!D15-BS!D6-BS!D8-BS!D10</f>
        <v>662313009876</v>
      </c>
      <c r="E9" s="50" t="n">
        <f aca="false">BS!E15-BS!E6-BS!E8-BS!E10</f>
        <v>325110362505</v>
      </c>
      <c r="F9" s="50" t="n">
        <f aca="false">BS!F15-BS!F6-BS!F8-BS!F10</f>
        <v>234215132667</v>
      </c>
      <c r="G9" s="50" t="n">
        <f aca="false">BS!G15-BS!G6-BS!G8-BS!G10</f>
        <v>48691384911</v>
      </c>
      <c r="H9" s="50" t="n">
        <f aca="false">BS!H15-BS!H6-BS!H8-BS!H10</f>
        <v>55953490668</v>
      </c>
      <c r="I9" s="63" t="n">
        <f aca="false">H9</f>
        <v>55953490668</v>
      </c>
      <c r="J9" s="63" t="n">
        <f aca="false">I9</f>
        <v>55953490668</v>
      </c>
      <c r="K9" s="63" t="n">
        <f aca="false">J9</f>
        <v>55953490668</v>
      </c>
      <c r="L9" s="63" t="n">
        <f aca="false">K9</f>
        <v>55953490668</v>
      </c>
      <c r="M9" s="63" t="n">
        <f aca="false">L9</f>
        <v>55953490668</v>
      </c>
      <c r="N9" s="15" t="s">
        <v>384</v>
      </c>
    </row>
    <row r="10" customFormat="false" ht="15" hidden="false" customHeight="false" outlineLevel="0" collapsed="false">
      <c r="A10" s="64" t="s">
        <v>385</v>
      </c>
      <c r="B10" s="65" t="s">
        <v>386</v>
      </c>
      <c r="C10" s="67" t="n">
        <f aca="false">C6+C7+C8+C9</f>
        <v>781853202675</v>
      </c>
      <c r="D10" s="67" t="n">
        <f aca="false">D6+D7+D8+D9</f>
        <v>1254261046809</v>
      </c>
      <c r="E10" s="67" t="n">
        <f aca="false">E6+E7+E8+E9</f>
        <v>881622483502</v>
      </c>
      <c r="F10" s="67" t="n">
        <f aca="false">F6+F7+F8+F9</f>
        <v>794519472582</v>
      </c>
      <c r="G10" s="67" t="n">
        <f aca="false">G6+G7+G8+G9</f>
        <v>543316240373</v>
      </c>
      <c r="H10" s="67" t="n">
        <f aca="false">H6+H7+H8+H9</f>
        <v>513916984019</v>
      </c>
      <c r="I10" s="67" t="n">
        <f aca="false">I6+I7+I8+I9</f>
        <v>431357328370.838</v>
      </c>
      <c r="J10" s="67" t="n">
        <f aca="false">J6+J7+J8+J9</f>
        <v>343238531895.951</v>
      </c>
      <c r="K10" s="67" t="n">
        <f aca="false">K6+K7+K8+K9</f>
        <v>252316528880.173</v>
      </c>
      <c r="L10" s="67" t="n">
        <f aca="false">L6+L7+L8+L9</f>
        <v>158396179575.899</v>
      </c>
      <c r="M10" s="67" t="n">
        <f aca="false">M6+M7+M8+M9</f>
        <v>61260035739.9731</v>
      </c>
    </row>
    <row r="11" customFormat="false" ht="15" hidden="false" customHeight="false" outlineLevel="0" collapsed="false">
      <c r="A11" s="54" t="s">
        <v>387</v>
      </c>
      <c r="B11" s="13" t="s">
        <v>388</v>
      </c>
      <c r="C11" s="50" t="n">
        <f aca="false">BS!C16</f>
        <v>2175317280881</v>
      </c>
      <c r="D11" s="50" t="n">
        <f aca="false">BS!D16</f>
        <v>2915791008035</v>
      </c>
      <c r="E11" s="50" t="n">
        <f aca="false">BS!E16</f>
        <v>3337354211724</v>
      </c>
      <c r="F11" s="50" t="n">
        <f aca="false">BS!F16</f>
        <v>3330399614118</v>
      </c>
      <c r="G11" s="50" t="n">
        <f aca="false">BS!G16</f>
        <v>3257425244004</v>
      </c>
      <c r="H11" s="50" t="n">
        <f aca="false">BS!H16</f>
        <v>3272592245462</v>
      </c>
      <c r="I11" s="51" t="n">
        <f aca="false">Schedules_Proj!I10</f>
        <v>3279261963729.58</v>
      </c>
      <c r="J11" s="51" t="n">
        <f aca="false">Schedules_Proj!J10</f>
        <v>3289873996801.97</v>
      </c>
      <c r="K11" s="51" t="n">
        <f aca="false">Schedules_Proj!K10</f>
        <v>3304920958428.1</v>
      </c>
      <c r="L11" s="51" t="n">
        <f aca="false">Schedules_Proj!L10</f>
        <v>3324960849399.38</v>
      </c>
      <c r="M11" s="51" t="n">
        <f aca="false">Schedules_Proj!M10</f>
        <v>3350625820265.54</v>
      </c>
    </row>
    <row r="12" customFormat="false" ht="15" hidden="false" customHeight="false" outlineLevel="0" collapsed="false">
      <c r="A12" s="54" t="s">
        <v>389</v>
      </c>
      <c r="B12" s="13" t="s">
        <v>390</v>
      </c>
      <c r="C12" s="50" t="n">
        <f aca="false">BS!C17</f>
        <v>7024470936</v>
      </c>
      <c r="D12" s="50" t="n">
        <f aca="false">BS!D17</f>
        <v>6971681464</v>
      </c>
      <c r="E12" s="50" t="n">
        <f aca="false">BS!E17</f>
        <v>6971681464</v>
      </c>
      <c r="F12" s="50" t="n">
        <f aca="false">BS!F17</f>
        <v>6971681464</v>
      </c>
      <c r="G12" s="50" t="n">
        <f aca="false">BS!G17</f>
        <v>0</v>
      </c>
      <c r="H12" s="50" t="n">
        <f aca="false">BS!H17</f>
        <v>0</v>
      </c>
      <c r="I12" s="51" t="n">
        <f aca="false">Schedules_Proj!I15</f>
        <v>0</v>
      </c>
      <c r="J12" s="51" t="n">
        <f aca="false">Schedules_Proj!J15</f>
        <v>0</v>
      </c>
      <c r="K12" s="51" t="n">
        <f aca="false">Schedules_Proj!K15</f>
        <v>0</v>
      </c>
      <c r="L12" s="51" t="n">
        <f aca="false">Schedules_Proj!L15</f>
        <v>0</v>
      </c>
      <c r="M12" s="51" t="n">
        <f aca="false">Schedules_Proj!M15</f>
        <v>0</v>
      </c>
    </row>
    <row r="13" customFormat="false" ht="15" hidden="false" customHeight="false" outlineLevel="0" collapsed="false">
      <c r="A13" s="54" t="s">
        <v>391</v>
      </c>
      <c r="B13" s="13" t="s">
        <v>392</v>
      </c>
      <c r="C13" s="50" t="n">
        <f aca="false">BS!C20-BS!C16-BS!C17</f>
        <v>481476309661</v>
      </c>
      <c r="D13" s="50" t="n">
        <f aca="false">BS!D20-BS!D16-BS!D17</f>
        <v>34188065950</v>
      </c>
      <c r="E13" s="50" t="n">
        <f aca="false">BS!E20-BS!E16-BS!E17</f>
        <v>8672755722</v>
      </c>
      <c r="F13" s="50" t="n">
        <f aca="false">BS!F20-BS!F16-BS!F17</f>
        <v>5115489549</v>
      </c>
      <c r="G13" s="50" t="n">
        <f aca="false">BS!G20-BS!G16-BS!G17</f>
        <v>220363928007</v>
      </c>
      <c r="H13" s="50" t="n">
        <f aca="false">BS!H20-BS!H16-BS!H17</f>
        <v>389419701284</v>
      </c>
      <c r="I13" s="63" t="n">
        <f aca="false">H13</f>
        <v>389419701284</v>
      </c>
      <c r="J13" s="63" t="n">
        <f aca="false">I13</f>
        <v>389419701284</v>
      </c>
      <c r="K13" s="63" t="n">
        <f aca="false">J13</f>
        <v>389419701284</v>
      </c>
      <c r="L13" s="63" t="n">
        <f aca="false">K13</f>
        <v>389419701284</v>
      </c>
      <c r="M13" s="63" t="n">
        <f aca="false">L13</f>
        <v>389419701284</v>
      </c>
      <c r="N13" s="15" t="s">
        <v>393</v>
      </c>
    </row>
    <row r="14" customFormat="false" ht="15" hidden="false" customHeight="false" outlineLevel="0" collapsed="false">
      <c r="A14" s="64" t="s">
        <v>394</v>
      </c>
      <c r="B14" s="65" t="s">
        <v>395</v>
      </c>
      <c r="C14" s="67" t="n">
        <f aca="false">C11+C12+C13</f>
        <v>2663818061478</v>
      </c>
      <c r="D14" s="67" t="n">
        <f aca="false">D11+D12+D13</f>
        <v>2956950755449</v>
      </c>
      <c r="E14" s="67" t="n">
        <f aca="false">E11+E12+E13</f>
        <v>3352998648910</v>
      </c>
      <c r="F14" s="67" t="n">
        <f aca="false">F11+F12+F13</f>
        <v>3342486785131</v>
      </c>
      <c r="G14" s="67" t="n">
        <f aca="false">G11+G12+G13</f>
        <v>3477789172011</v>
      </c>
      <c r="H14" s="67" t="n">
        <f aca="false">H11+H12+H13</f>
        <v>3662011946746</v>
      </c>
      <c r="I14" s="67" t="n">
        <f aca="false">I11+I12+I13</f>
        <v>3668681665013.58</v>
      </c>
      <c r="J14" s="67" t="n">
        <f aca="false">J11+J12+J13</f>
        <v>3679293698085.97</v>
      </c>
      <c r="K14" s="67" t="n">
        <f aca="false">K11+K12+K13</f>
        <v>3694340659712.1</v>
      </c>
      <c r="L14" s="67" t="n">
        <f aca="false">L11+L12+L13</f>
        <v>3714380550683.38</v>
      </c>
      <c r="M14" s="67" t="n">
        <f aca="false">M11+M12+M13</f>
        <v>3740045521549.54</v>
      </c>
    </row>
    <row r="15" customFormat="false" ht="15" hidden="false" customHeight="false" outlineLevel="0" collapsed="false">
      <c r="A15" s="64" t="s">
        <v>396</v>
      </c>
      <c r="B15" s="65" t="s">
        <v>397</v>
      </c>
      <c r="C15" s="67" t="n">
        <f aca="false">C10+C14</f>
        <v>3445671264153</v>
      </c>
      <c r="D15" s="67" t="n">
        <f aca="false">D10+D14</f>
        <v>4211211802258</v>
      </c>
      <c r="E15" s="67" t="n">
        <f aca="false">E10+E14</f>
        <v>4234621132412</v>
      </c>
      <c r="F15" s="67" t="n">
        <f aca="false">F10+F14</f>
        <v>4137006257713</v>
      </c>
      <c r="G15" s="67" t="n">
        <f aca="false">G10+G14</f>
        <v>4021105412384</v>
      </c>
      <c r="H15" s="67" t="n">
        <f aca="false">H10+H14</f>
        <v>4175928930765</v>
      </c>
      <c r="I15" s="67" t="n">
        <f aca="false">I10+I14</f>
        <v>4100038993384.42</v>
      </c>
      <c r="J15" s="67" t="n">
        <f aca="false">J10+J14</f>
        <v>4022532229981.92</v>
      </c>
      <c r="K15" s="67" t="n">
        <f aca="false">K10+K14</f>
        <v>3946657188592.27</v>
      </c>
      <c r="L15" s="67" t="n">
        <f aca="false">L10+L14</f>
        <v>3872776730259.28</v>
      </c>
      <c r="M15" s="67" t="n">
        <f aca="false">M10+M14</f>
        <v>3801305557289.51</v>
      </c>
    </row>
    <row r="16" customFormat="false" ht="15" hidden="false" customHeight="false" outlineLevel="0" collapsed="false">
      <c r="A16" s="16"/>
      <c r="B16" s="17" t="s">
        <v>398</v>
      </c>
      <c r="C16" s="16"/>
      <c r="D16" s="16"/>
      <c r="E16" s="16"/>
      <c r="F16" s="16"/>
      <c r="G16" s="16"/>
      <c r="H16" s="16"/>
      <c r="I16" s="16"/>
      <c r="J16" s="16"/>
      <c r="K16" s="16"/>
      <c r="L16" s="16"/>
      <c r="M16" s="16"/>
      <c r="N16" s="16"/>
    </row>
    <row r="17" customFormat="false" ht="15" hidden="false" customHeight="false" outlineLevel="0" collapsed="false">
      <c r="A17" s="54" t="s">
        <v>399</v>
      </c>
      <c r="B17" s="13" t="s">
        <v>400</v>
      </c>
      <c r="C17" s="50" t="n">
        <f aca="false">BS!C24</f>
        <v>10821912088</v>
      </c>
      <c r="D17" s="50" t="n">
        <f aca="false">BS!D24</f>
        <v>14656750351</v>
      </c>
      <c r="E17" s="50" t="n">
        <f aca="false">BS!E24</f>
        <v>26875586517</v>
      </c>
      <c r="F17" s="50" t="n">
        <f aca="false">BS!F24</f>
        <v>42532889111</v>
      </c>
      <c r="G17" s="50" t="n">
        <f aca="false">BS!G24</f>
        <v>25121215698</v>
      </c>
      <c r="H17" s="50" t="n">
        <f aca="false">BS!H24</f>
        <v>21151058333</v>
      </c>
      <c r="I17" s="51" t="n">
        <f aca="false">Schedules_Proj!I28</f>
        <v>27131815331.3226</v>
      </c>
      <c r="J17" s="51" t="n">
        <f aca="false">Schedules_Proj!J28</f>
        <v>30638197316.5175</v>
      </c>
      <c r="K17" s="51" t="n">
        <f aca="false">Schedules_Proj!K28</f>
        <v>34602929761.7511</v>
      </c>
      <c r="L17" s="51" t="n">
        <f aca="false">Schedules_Proj!L28</f>
        <v>39086652415.5005</v>
      </c>
      <c r="M17" s="51" t="n">
        <f aca="false">Schedules_Proj!M28</f>
        <v>44158127450.0508</v>
      </c>
    </row>
    <row r="18" customFormat="false" ht="15" hidden="false" customHeight="false" outlineLevel="0" collapsed="false">
      <c r="A18" s="54" t="s">
        <v>401</v>
      </c>
      <c r="B18" s="13" t="s">
        <v>402</v>
      </c>
      <c r="C18" s="50" t="n">
        <f aca="false">(BS!C23+BS!C30+BS!C34+BS!C31+BS!C35+BS!C32+BS!C36)</f>
        <v>116162740870</v>
      </c>
      <c r="D18" s="50" t="n">
        <f aca="false">(BS!D23+BS!D30+BS!D34+BS!D31+BS!D35+BS!D32+BS!D36)</f>
        <v>844063816090</v>
      </c>
      <c r="E18" s="50" t="n">
        <f aca="false">(BS!E23+BS!E30+BS!E34+BS!E31+BS!E35+BS!E32+BS!E36)</f>
        <v>957037296647</v>
      </c>
      <c r="F18" s="50" t="n">
        <f aca="false">(BS!F23+BS!F30+BS!F34+BS!F31+BS!F35+BS!F32+BS!F36)</f>
        <v>954514193129</v>
      </c>
      <c r="G18" s="50" t="n">
        <f aca="false">(BS!G23+BS!G30+BS!G34+BS!G31+BS!G35+BS!G32+BS!G36)</f>
        <v>944466599212</v>
      </c>
      <c r="H18" s="50" t="n">
        <f aca="false">(BS!H23+BS!H30+BS!H34+BS!H31+BS!H35+BS!H32+BS!H36)</f>
        <v>1083635029572</v>
      </c>
      <c r="I18" s="51" t="n">
        <f aca="false">Schedules_Proj!I23</f>
        <v>1083635029572</v>
      </c>
      <c r="J18" s="51" t="n">
        <f aca="false">Schedules_Proj!J23</f>
        <v>1083635029572</v>
      </c>
      <c r="K18" s="51" t="n">
        <f aca="false">Schedules_Proj!K23</f>
        <v>1083635029572</v>
      </c>
      <c r="L18" s="51" t="n">
        <f aca="false">Schedules_Proj!L23</f>
        <v>1083635029572</v>
      </c>
      <c r="M18" s="51" t="n">
        <f aca="false">Schedules_Proj!M23</f>
        <v>1083635029572</v>
      </c>
    </row>
    <row r="19" customFormat="false" ht="15" hidden="false" customHeight="false" outlineLevel="0" collapsed="false">
      <c r="A19" s="54" t="s">
        <v>403</v>
      </c>
      <c r="B19" s="13" t="s">
        <v>404</v>
      </c>
      <c r="C19" s="73" t="n">
        <f aca="false">0</f>
        <v>0</v>
      </c>
      <c r="D19" s="73" t="n">
        <f aca="false">0</f>
        <v>0</v>
      </c>
      <c r="E19" s="73" t="n">
        <f aca="false">0</f>
        <v>0</v>
      </c>
      <c r="F19" s="73" t="n">
        <f aca="false">0</f>
        <v>0</v>
      </c>
      <c r="G19" s="73" t="n">
        <f aca="false">0</f>
        <v>0</v>
      </c>
      <c r="H19" s="73" t="n">
        <f aca="false">0</f>
        <v>0</v>
      </c>
      <c r="I19" s="51" t="n">
        <f aca="false">Schedules_Proj!I18</f>
        <v>0</v>
      </c>
      <c r="J19" s="51" t="n">
        <f aca="false">Schedules_Proj!J18</f>
        <v>0</v>
      </c>
      <c r="K19" s="51" t="n">
        <f aca="false">Schedules_Proj!K18</f>
        <v>0</v>
      </c>
      <c r="L19" s="51" t="n">
        <f aca="false">Schedules_Proj!L18</f>
        <v>0</v>
      </c>
      <c r="M19" s="51" t="n">
        <f aca="false">Schedules_Proj!M18</f>
        <v>0</v>
      </c>
    </row>
    <row r="20" customFormat="false" ht="15" hidden="false" customHeight="false" outlineLevel="0" collapsed="false">
      <c r="A20" s="54" t="s">
        <v>405</v>
      </c>
      <c r="B20" s="13" t="s">
        <v>406</v>
      </c>
      <c r="C20" s="50" t="n">
        <f aca="false">BS!C40-BS!C24-(BS!C23+BS!C30+BS!C34+BS!C31+BS!C35+BS!C32+BS!C36)</f>
        <v>27929171939</v>
      </c>
      <c r="D20" s="50" t="n">
        <f aca="false">BS!D40-BS!D24-(BS!D23+BS!D30+BS!D34+BS!D31+BS!D35+BS!D32+BS!D36)</f>
        <v>54223391980</v>
      </c>
      <c r="E20" s="50" t="n">
        <f aca="false">BS!E40-BS!E24-(BS!E23+BS!E30+BS!E34+BS!E31+BS!E35+BS!E32+BS!E36)</f>
        <v>43816446726</v>
      </c>
      <c r="F20" s="50" t="n">
        <f aca="false">BS!F40-BS!F24-(BS!F23+BS!F30+BS!F34+BS!F31+BS!F35+BS!F32+BS!F36)</f>
        <v>42235167472</v>
      </c>
      <c r="G20" s="50" t="n">
        <f aca="false">BS!G40-BS!G24-(BS!G23+BS!G30+BS!G34+BS!G31+BS!G35+BS!G32+BS!G36)</f>
        <v>33130760746</v>
      </c>
      <c r="H20" s="50" t="n">
        <f aca="false">BS!H40-BS!H24-(BS!H23+BS!H30+BS!H34+BS!H31+BS!H35+BS!H32+BS!H36)</f>
        <v>47287331752</v>
      </c>
      <c r="I20" s="63" t="n">
        <f aca="false">H20</f>
        <v>47287331752</v>
      </c>
      <c r="J20" s="63" t="n">
        <f aca="false">I20</f>
        <v>47287331752</v>
      </c>
      <c r="K20" s="63" t="n">
        <f aca="false">J20</f>
        <v>47287331752</v>
      </c>
      <c r="L20" s="63" t="n">
        <f aca="false">K20</f>
        <v>47287331752</v>
      </c>
      <c r="M20" s="63" t="n">
        <f aca="false">L20</f>
        <v>47287331752</v>
      </c>
      <c r="N20" s="15" t="s">
        <v>407</v>
      </c>
    </row>
    <row r="21" customFormat="false" ht="15" hidden="false" customHeight="false" outlineLevel="0" collapsed="false">
      <c r="A21" s="64" t="s">
        <v>408</v>
      </c>
      <c r="B21" s="65" t="s">
        <v>409</v>
      </c>
      <c r="C21" s="67" t="n">
        <f aca="false">C17+C18+C19+C20</f>
        <v>154913824897</v>
      </c>
      <c r="D21" s="67" t="n">
        <f aca="false">D17+D18+D19+D20</f>
        <v>912943958421</v>
      </c>
      <c r="E21" s="67" t="n">
        <f aca="false">E17+E18+E19+E20</f>
        <v>1027729329890</v>
      </c>
      <c r="F21" s="67" t="n">
        <f aca="false">F17+F18+F19+F20</f>
        <v>1039282249712</v>
      </c>
      <c r="G21" s="67" t="n">
        <f aca="false">G17+G18+G19+G20</f>
        <v>1002718575656</v>
      </c>
      <c r="H21" s="67" t="n">
        <f aca="false">H17+H18+H19+H20</f>
        <v>1152073419657</v>
      </c>
      <c r="I21" s="67" t="n">
        <f aca="false">I17+I18+I19+I20</f>
        <v>1158054176655.32</v>
      </c>
      <c r="J21" s="67" t="n">
        <f aca="false">J17+J18+J19+J20</f>
        <v>1161560558640.52</v>
      </c>
      <c r="K21" s="67" t="n">
        <f aca="false">K17+K18+K19+K20</f>
        <v>1165525291085.75</v>
      </c>
      <c r="L21" s="67" t="n">
        <f aca="false">L17+L18+L19+L20</f>
        <v>1170009013739.5</v>
      </c>
      <c r="M21" s="67" t="n">
        <f aca="false">M17+M18+M19+M20</f>
        <v>1175080488774.05</v>
      </c>
    </row>
    <row r="22" customFormat="false" ht="15" hidden="false" customHeight="false" outlineLevel="0" collapsed="false">
      <c r="A22" s="16"/>
      <c r="B22" s="17" t="s">
        <v>410</v>
      </c>
      <c r="C22" s="16"/>
      <c r="D22" s="16"/>
      <c r="E22" s="16"/>
      <c r="F22" s="16"/>
      <c r="G22" s="16"/>
      <c r="H22" s="16"/>
      <c r="I22" s="16"/>
      <c r="J22" s="16"/>
      <c r="K22" s="16"/>
      <c r="L22" s="16"/>
      <c r="M22" s="16"/>
      <c r="N22" s="16"/>
    </row>
    <row r="23" customFormat="false" ht="15" hidden="false" customHeight="false" outlineLevel="0" collapsed="false">
      <c r="A23" s="54" t="s">
        <v>411</v>
      </c>
      <c r="B23" s="13" t="s">
        <v>412</v>
      </c>
      <c r="C23" s="50" t="n">
        <f aca="false">BS!C45-BS!C44</f>
        <v>3328284159332</v>
      </c>
      <c r="D23" s="50" t="n">
        <f aca="false">BS!D45-BS!D44</f>
        <v>3328284159332</v>
      </c>
      <c r="E23" s="50" t="n">
        <f aca="false">BS!E45-BS!E44</f>
        <v>3328284159332</v>
      </c>
      <c r="F23" s="50" t="n">
        <f aca="false">BS!F45-BS!F44</f>
        <v>3328284159332</v>
      </c>
      <c r="G23" s="50" t="n">
        <f aca="false">BS!G45-BS!G44</f>
        <v>3328284159332</v>
      </c>
      <c r="H23" s="50" t="n">
        <f aca="false">BS!H45-BS!H44</f>
        <v>3328284159332</v>
      </c>
      <c r="I23" s="63" t="n">
        <f aca="false">H23</f>
        <v>3328284159332</v>
      </c>
      <c r="J23" s="63" t="n">
        <f aca="false">I23</f>
        <v>3328284159332</v>
      </c>
      <c r="K23" s="63" t="n">
        <f aca="false">J23</f>
        <v>3328284159332</v>
      </c>
      <c r="L23" s="63" t="n">
        <f aca="false">K23</f>
        <v>3328284159332</v>
      </c>
      <c r="M23" s="63" t="n">
        <f aca="false">L23</f>
        <v>3328284159332</v>
      </c>
      <c r="N23" s="15" t="s">
        <v>393</v>
      </c>
    </row>
    <row r="24" customFormat="false" ht="15" hidden="false" customHeight="false" outlineLevel="0" collapsed="false">
      <c r="A24" s="54" t="s">
        <v>413</v>
      </c>
      <c r="B24" s="13" t="s">
        <v>414</v>
      </c>
      <c r="C24" s="50" t="n">
        <f aca="false">BS!C44</f>
        <v>-38449339396</v>
      </c>
      <c r="D24" s="50" t="n">
        <f aca="false">BS!D44</f>
        <v>-31033031403</v>
      </c>
      <c r="E24" s="50" t="n">
        <f aca="false">BS!E44</f>
        <v>-122376092871</v>
      </c>
      <c r="F24" s="50" t="n">
        <f aca="false">BS!F44</f>
        <v>-231784665472</v>
      </c>
      <c r="G24" s="50" t="n">
        <f aca="false">BS!G44</f>
        <v>-311516892081</v>
      </c>
      <c r="H24" s="50" t="n">
        <f aca="false">BS!H44</f>
        <v>-306241065514</v>
      </c>
      <c r="I24" s="51" t="n">
        <f aca="false">H24+IS_Proj!I25+CF_Proj!I19</f>
        <v>-385082544200.883</v>
      </c>
      <c r="J24" s="51" t="n">
        <f aca="false">I24+IS_Proj!J25+CF_Proj!J19</f>
        <v>-463098203209.23</v>
      </c>
      <c r="K24" s="51" t="n">
        <f aca="false">J24+IS_Proj!K25+CF_Proj!K19</f>
        <v>-539983905412.225</v>
      </c>
      <c r="L24" s="51" t="n">
        <f aca="false">K24+IS_Proj!L25+CF_Proj!L19</f>
        <v>-615448611702.457</v>
      </c>
      <c r="M24" s="51" t="n">
        <f aca="false">L24+IS_Proj!M25+CF_Proj!M19</f>
        <v>-689159181730.614</v>
      </c>
    </row>
    <row r="25" customFormat="false" ht="15" hidden="false" customHeight="false" outlineLevel="0" collapsed="false">
      <c r="A25" s="64" t="s">
        <v>415</v>
      </c>
      <c r="B25" s="65" t="s">
        <v>416</v>
      </c>
      <c r="C25" s="67" t="n">
        <f aca="false">C23+C24</f>
        <v>3289834819936</v>
      </c>
      <c r="D25" s="67" t="n">
        <f aca="false">D23+D24</f>
        <v>3297251127929</v>
      </c>
      <c r="E25" s="67" t="n">
        <f aca="false">E23+E24</f>
        <v>3205908066461</v>
      </c>
      <c r="F25" s="67" t="n">
        <f aca="false">F23+F24</f>
        <v>3096499493860</v>
      </c>
      <c r="G25" s="67" t="n">
        <f aca="false">G23+G24</f>
        <v>3016767267251</v>
      </c>
      <c r="H25" s="67" t="n">
        <f aca="false">H23+H24</f>
        <v>3022043093818</v>
      </c>
      <c r="I25" s="67" t="n">
        <f aca="false">I23+I24</f>
        <v>2943201615131.12</v>
      </c>
      <c r="J25" s="67" t="n">
        <f aca="false">J23+J24</f>
        <v>2865185956122.77</v>
      </c>
      <c r="K25" s="67" t="n">
        <f aca="false">K23+K24</f>
        <v>2788300253919.78</v>
      </c>
      <c r="L25" s="67" t="n">
        <f aca="false">L23+L24</f>
        <v>2712835547629.54</v>
      </c>
      <c r="M25" s="67" t="n">
        <f aca="false">M23+M24</f>
        <v>2639124977601.39</v>
      </c>
    </row>
    <row r="26" customFormat="false" ht="15" hidden="false" customHeight="false" outlineLevel="0" collapsed="false">
      <c r="A26" s="54" t="s">
        <v>417</v>
      </c>
      <c r="B26" s="13" t="s">
        <v>418</v>
      </c>
      <c r="C26" s="50" t="n">
        <f aca="false">BS!C46</f>
        <v>922619320</v>
      </c>
      <c r="D26" s="50" t="n">
        <f aca="false">BS!D46</f>
        <v>1016715908</v>
      </c>
      <c r="E26" s="50" t="n">
        <f aca="false">BS!E46</f>
        <v>983736061</v>
      </c>
      <c r="F26" s="50" t="n">
        <f aca="false">BS!F46</f>
        <v>1224514141</v>
      </c>
      <c r="G26" s="50" t="n">
        <f aca="false">BS!G46</f>
        <v>1619569477</v>
      </c>
      <c r="H26" s="50" t="n">
        <f aca="false">BS!H46</f>
        <v>1812417290</v>
      </c>
      <c r="I26" s="51" t="n">
        <f aca="false">H26+IS_Proj!I24</f>
        <v>-1216798402.01938</v>
      </c>
      <c r="J26" s="51" t="n">
        <f aca="false">I26+IS_Proj!J24</f>
        <v>-4214284781.36399</v>
      </c>
      <c r="K26" s="51" t="n">
        <f aca="false">J26+IS_Proj!K24</f>
        <v>-7168356413.25475</v>
      </c>
      <c r="L26" s="51" t="n">
        <f aca="false">K26+IS_Proj!L24</f>
        <v>-10067831109.7642</v>
      </c>
      <c r="M26" s="51" t="n">
        <f aca="false">L26+IS_Proj!M24</f>
        <v>-12899909085.9239</v>
      </c>
      <c r="N26" s="15" t="s">
        <v>419</v>
      </c>
    </row>
    <row r="27" customFormat="false" ht="15" hidden="false" customHeight="false" outlineLevel="0" collapsed="false">
      <c r="A27" s="64" t="s">
        <v>420</v>
      </c>
      <c r="B27" s="65" t="s">
        <v>421</v>
      </c>
      <c r="C27" s="67" t="n">
        <f aca="false">C25+C26</f>
        <v>3290757439256</v>
      </c>
      <c r="D27" s="67" t="n">
        <f aca="false">D25+D26</f>
        <v>3298267843837</v>
      </c>
      <c r="E27" s="67" t="n">
        <f aca="false">E25+E26</f>
        <v>3206891802522</v>
      </c>
      <c r="F27" s="67" t="n">
        <f aca="false">F25+F26</f>
        <v>3097724008001</v>
      </c>
      <c r="G27" s="67" t="n">
        <f aca="false">G25+G26</f>
        <v>3018386836728</v>
      </c>
      <c r="H27" s="67" t="n">
        <f aca="false">H25+H26</f>
        <v>3023855511108</v>
      </c>
      <c r="I27" s="67" t="n">
        <f aca="false">I25+I26</f>
        <v>2941984816729.1</v>
      </c>
      <c r="J27" s="67" t="n">
        <f aca="false">J25+J26</f>
        <v>2860971671341.41</v>
      </c>
      <c r="K27" s="67" t="n">
        <f aca="false">K25+K26</f>
        <v>2781131897506.52</v>
      </c>
      <c r="L27" s="67" t="n">
        <f aca="false">L25+L26</f>
        <v>2702767716519.78</v>
      </c>
      <c r="M27" s="67" t="n">
        <f aca="false">M25+M26</f>
        <v>2626225068515.46</v>
      </c>
    </row>
    <row r="28" customFormat="false" ht="15" hidden="false" customHeight="false" outlineLevel="0" collapsed="false">
      <c r="A28" s="64" t="s">
        <v>422</v>
      </c>
      <c r="B28" s="65" t="s">
        <v>423</v>
      </c>
      <c r="C28" s="67" t="n">
        <f aca="false">C21+C27</f>
        <v>3445671264153</v>
      </c>
      <c r="D28" s="67" t="n">
        <f aca="false">D21+D27</f>
        <v>4211211802258</v>
      </c>
      <c r="E28" s="67" t="n">
        <f aca="false">E21+E27</f>
        <v>4234621132412</v>
      </c>
      <c r="F28" s="67" t="n">
        <f aca="false">F21+F27</f>
        <v>4137006257713</v>
      </c>
      <c r="G28" s="67" t="n">
        <f aca="false">G21+G27</f>
        <v>4021105412384</v>
      </c>
      <c r="H28" s="67" t="n">
        <f aca="false">H21+H27</f>
        <v>4175928930765</v>
      </c>
      <c r="I28" s="67" t="n">
        <f aca="false">I21+I27</f>
        <v>4100038993384.42</v>
      </c>
      <c r="J28" s="67" t="n">
        <f aca="false">J21+J27</f>
        <v>4022532229981.92</v>
      </c>
      <c r="K28" s="67" t="n">
        <f aca="false">K21+K27</f>
        <v>3946657188592.27</v>
      </c>
      <c r="L28" s="67" t="n">
        <f aca="false">L21+L27</f>
        <v>3872776730259.28</v>
      </c>
      <c r="M28" s="67" t="n">
        <f aca="false">M21+M27</f>
        <v>3801305557289.51</v>
      </c>
    </row>
    <row r="30" customFormat="false" ht="15" hidden="false" customHeight="false" outlineLevel="0" collapsed="false">
      <c r="A30" s="54" t="s">
        <v>424</v>
      </c>
      <c r="B30" s="13" t="s">
        <v>425</v>
      </c>
      <c r="C30" s="73" t="n">
        <f aca="false">ROUND(C15-C28,0)</f>
        <v>0</v>
      </c>
      <c r="D30" s="73" t="n">
        <f aca="false">ROUND(D15-D28,0)</f>
        <v>0</v>
      </c>
      <c r="E30" s="73" t="n">
        <f aca="false">ROUND(E15-E28,0)</f>
        <v>0</v>
      </c>
      <c r="F30" s="73" t="n">
        <f aca="false">ROUND(F15-F28,0)</f>
        <v>0</v>
      </c>
      <c r="G30" s="73" t="n">
        <f aca="false">ROUND(G15-G28,0)</f>
        <v>0</v>
      </c>
      <c r="H30" s="73" t="n">
        <f aca="false">ROUND(H15-H28,0)</f>
        <v>0</v>
      </c>
      <c r="I30" s="63" t="n">
        <f aca="false">ROUND(I15-I28,0)</f>
        <v>0</v>
      </c>
      <c r="J30" s="63" t="n">
        <f aca="false">ROUND(J15-J28,0)</f>
        <v>0</v>
      </c>
      <c r="K30" s="63" t="n">
        <f aca="false">ROUND(K15-K28,0)</f>
        <v>0</v>
      </c>
      <c r="L30" s="63" t="n">
        <f aca="false">ROUND(L15-L28,0)</f>
        <v>0</v>
      </c>
      <c r="M30" s="63" t="n">
        <f aca="false">ROUND(M15-M28,0)</f>
        <v>0</v>
      </c>
    </row>
    <row r="31" customFormat="false" ht="15" hidden="false" customHeight="false" outlineLevel="0" collapsed="false">
      <c r="A31" s="54" t="s">
        <v>426</v>
      </c>
      <c r="B31" s="13" t="s">
        <v>427</v>
      </c>
      <c r="C31" s="73" t="n">
        <f aca="false">C18+C19-C6</f>
        <v>-409316952934</v>
      </c>
      <c r="D31" s="73" t="n">
        <f aca="false">D18+D19-D6</f>
        <v>301663340852</v>
      </c>
      <c r="E31" s="73" t="n">
        <f aca="false">E18+E19-E6</f>
        <v>423829263168</v>
      </c>
      <c r="F31" s="73" t="n">
        <f aca="false">F18+F19-F6</f>
        <v>428751244292</v>
      </c>
      <c r="G31" s="73" t="n">
        <f aca="false">G18+G19-G6</f>
        <v>495396935481</v>
      </c>
      <c r="H31" s="73" t="n">
        <f aca="false">H18+H19-H6</f>
        <v>663430934809</v>
      </c>
      <c r="I31" s="63" t="n">
        <f aca="false">I18+I19-I6</f>
        <v>757174236523.364</v>
      </c>
      <c r="J31" s="63" t="n">
        <f aca="false">J18+J19-J6</f>
        <v>851618190676.808</v>
      </c>
      <c r="K31" s="63" t="n">
        <f aca="false">K18+K19-K6</f>
        <v>949692169140.577</v>
      </c>
      <c r="L31" s="63" t="n">
        <f aca="false">L18+L19-L6</f>
        <v>1051700699621.81</v>
      </c>
      <c r="M31" s="63" t="n">
        <f aca="false">M18+M19-M6</f>
        <v>1157985270352.42</v>
      </c>
    </row>
    <row r="32" customFormat="false" ht="15" hidden="false" customHeight="false" outlineLevel="0" collapsed="false">
      <c r="A32" s="54" t="s">
        <v>428</v>
      </c>
      <c r="B32" s="13" t="s">
        <v>429</v>
      </c>
      <c r="C32" s="59"/>
      <c r="D32" s="46" t="n">
        <f aca="false">IS_Proj!D25/AVERAGE(C25,D25)</f>
        <v>0.00185186406227988</v>
      </c>
      <c r="E32" s="46" t="n">
        <f aca="false">IS_Proj!E25/AVERAGE(D25,E25)</f>
        <v>-0.0287687550609852</v>
      </c>
      <c r="F32" s="46" t="n">
        <f aca="false">IS_Proj!F25/AVERAGE(E25,F25)</f>
        <v>-0.035199179915096</v>
      </c>
      <c r="G32" s="46" t="n">
        <f aca="false">IS_Proj!G25/AVERAGE(F25,G25)</f>
        <v>-0.0262737369263451</v>
      </c>
      <c r="H32" s="46" t="n">
        <f aca="false">IS_Proj!H25/AVERAGE(G25,H25)</f>
        <v>0.00164029602251767</v>
      </c>
      <c r="I32" s="47" t="n">
        <f aca="false">IS_Proj!I25/AVERAGE(H25,I25)</f>
        <v>-0.0264336108688397</v>
      </c>
      <c r="J32" s="47" t="n">
        <f aca="false">IS_Proj!J25/AVERAGE(I25,J25)</f>
        <v>-0.0268631037620329</v>
      </c>
      <c r="K32" s="47" t="n">
        <f aca="false">IS_Proj!K25/AVERAGE(J25,K25)</f>
        <v>-0.0271993949738196</v>
      </c>
      <c r="L32" s="47" t="n">
        <f aca="false">IS_Proj!L25/AVERAGE(K25,L25)</f>
        <v>-0.0274360455777073</v>
      </c>
      <c r="M32" s="47" t="n">
        <f aca="false">IS_Proj!M25/AVERAGE(L25,M25)</f>
        <v>-0.0275452592300188</v>
      </c>
    </row>
    <row r="33" customFormat="false" ht="15" hidden="false" customHeight="false" outlineLevel="0" collapsed="false">
      <c r="A33" s="54" t="s">
        <v>430</v>
      </c>
      <c r="B33" s="13" t="s">
        <v>431</v>
      </c>
      <c r="C33" s="74"/>
      <c r="D33" s="48" t="n">
        <f aca="false">D31/IS_Proj!D15</f>
        <v>9.60855972725873</v>
      </c>
      <c r="E33" s="48" t="n">
        <f aca="false">E31/IS_Proj!E15</f>
        <v>-11.2380560731979</v>
      </c>
      <c r="F33" s="48" t="n">
        <f aca="false">F31/IS_Proj!F15</f>
        <v>-29.4597269947023</v>
      </c>
      <c r="G33" s="48" t="n">
        <f aca="false">G31/IS_Proj!G15</f>
        <v>-112.287278451707</v>
      </c>
      <c r="H33" s="48" t="n">
        <f aca="false">H31/IS_Proj!H15</f>
        <v>6.88621225409975</v>
      </c>
      <c r="I33" s="49" t="n">
        <f aca="false">I31/IS_Proj!I15</f>
        <v>39.2230603836631</v>
      </c>
      <c r="J33" s="49" t="n">
        <f aca="false">J31/IS_Proj!J15</f>
        <v>39.0666544649169</v>
      </c>
      <c r="K33" s="49" t="n">
        <f aca="false">K31/IS_Proj!K15</f>
        <v>38.5739831480928</v>
      </c>
      <c r="L33" s="49" t="n">
        <f aca="false">L31/IS_Proj!L15</f>
        <v>37.8170969290764</v>
      </c>
      <c r="M33" s="49" t="n">
        <f aca="false">M31/IS_Proj!M15</f>
        <v>36.8567373039856</v>
      </c>
    </row>
  </sheetData>
  <conditionalFormatting sqref="C30:M30">
    <cfRule type="cellIs" priority="2" operator="notEqual" aboveAverage="0" equalAverage="0" bottom="0" percent="0" rank="0" text="" dxfId="0">
      <formula>0</formula>
    </cfRule>
    <cfRule type="cellIs" priority="3" operator="equal" aboveAverage="0" equalAverage="0" bottom="0" percent="0" rank="0" text="" dxfId="1">
      <formula>0</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432</v>
      </c>
    </row>
    <row r="2" customFormat="false" ht="15" hidden="false" customHeight="false" outlineLevel="0" collapsed="false">
      <c r="A2" s="15" t="s">
        <v>316</v>
      </c>
    </row>
    <row r="3" customFormat="false" ht="15" hidden="false" customHeight="false" outlineLevel="0" collapsed="false">
      <c r="A3" s="4" t="s">
        <v>170</v>
      </c>
      <c r="C3" s="42" t="str">
        <f aca="false">Asumsi!C4</f>
        <v>Base</v>
      </c>
      <c r="I3" s="15" t="s">
        <v>317</v>
      </c>
      <c r="J3" s="15" t="s">
        <v>317</v>
      </c>
      <c r="K3" s="15" t="s">
        <v>317</v>
      </c>
      <c r="L3" s="15" t="s">
        <v>317</v>
      </c>
      <c r="M3" s="15" t="s">
        <v>317</v>
      </c>
    </row>
    <row r="4" customFormat="false" ht="15" hidden="false" customHeight="false" outlineLevel="0" collapsed="false">
      <c r="A4" s="25" t="s">
        <v>318</v>
      </c>
      <c r="B4" s="25" t="s">
        <v>319</v>
      </c>
      <c r="C4" s="25" t="s">
        <v>130</v>
      </c>
      <c r="D4" s="25" t="s">
        <v>131</v>
      </c>
      <c r="E4" s="25" t="s">
        <v>132</v>
      </c>
      <c r="F4" s="25" t="s">
        <v>133</v>
      </c>
      <c r="G4" s="25" t="s">
        <v>134</v>
      </c>
      <c r="H4" s="25" t="s">
        <v>135</v>
      </c>
      <c r="I4" s="43" t="s">
        <v>171</v>
      </c>
      <c r="J4" s="43" t="s">
        <v>172</v>
      </c>
      <c r="K4" s="43" t="s">
        <v>173</v>
      </c>
      <c r="L4" s="43" t="s">
        <v>174</v>
      </c>
      <c r="M4" s="43" t="s">
        <v>175</v>
      </c>
      <c r="N4" s="25" t="s">
        <v>320</v>
      </c>
    </row>
    <row r="5" customFormat="false" ht="15" hidden="false" customHeight="false" outlineLevel="0" collapsed="false">
      <c r="A5" s="16"/>
      <c r="B5" s="17" t="s">
        <v>433</v>
      </c>
      <c r="C5" s="16"/>
      <c r="D5" s="16"/>
      <c r="E5" s="16"/>
      <c r="F5" s="16"/>
      <c r="G5" s="16"/>
      <c r="H5" s="16"/>
      <c r="I5" s="16"/>
      <c r="J5" s="16"/>
      <c r="K5" s="16"/>
      <c r="L5" s="16"/>
      <c r="M5" s="16"/>
      <c r="N5" s="16"/>
    </row>
    <row r="6" customFormat="false" ht="15" hidden="false" customHeight="false" outlineLevel="0" collapsed="false">
      <c r="A6" s="54" t="s">
        <v>434</v>
      </c>
      <c r="B6" s="13" t="s">
        <v>141</v>
      </c>
      <c r="C6" s="50" t="n">
        <f aca="false">IS_Proj!C23</f>
        <v>14167951136</v>
      </c>
      <c r="D6" s="50" t="n">
        <f aca="false">IS_Proj!D23</f>
        <v>6173624777</v>
      </c>
      <c r="E6" s="50" t="n">
        <f aca="false">IS_Proj!E23</f>
        <v>-93604422306</v>
      </c>
      <c r="F6" s="50" t="n">
        <f aca="false">IS_Proj!F23</f>
        <v>-110688861895</v>
      </c>
      <c r="G6" s="50" t="n">
        <f aca="false">IS_Proj!G23</f>
        <v>-79917220104</v>
      </c>
      <c r="H6" s="50" t="n">
        <f aca="false">IS_Proj!H23</f>
        <v>5145566121</v>
      </c>
      <c r="I6" s="51" t="n">
        <f aca="false">IS_Proj!I23</f>
        <v>-81870694378.9022</v>
      </c>
      <c r="J6" s="51" t="n">
        <f aca="false">IS_Proj!J23</f>
        <v>-81013145387.6922</v>
      </c>
      <c r="K6" s="51" t="n">
        <f aca="false">IS_Proj!K23</f>
        <v>-79839773834.8854</v>
      </c>
      <c r="L6" s="51" t="n">
        <f aca="false">IS_Proj!L23</f>
        <v>-78364180986.7416</v>
      </c>
      <c r="M6" s="51" t="n">
        <f aca="false">IS_Proj!M23</f>
        <v>-76542648004.3166</v>
      </c>
    </row>
    <row r="7" customFormat="false" ht="15" hidden="false" customHeight="false" outlineLevel="0" collapsed="false">
      <c r="A7" s="54" t="s">
        <v>435</v>
      </c>
      <c r="B7" s="13" t="s">
        <v>436</v>
      </c>
      <c r="C7" s="61"/>
      <c r="D7" s="61"/>
      <c r="E7" s="61"/>
      <c r="F7" s="61"/>
      <c r="G7" s="61"/>
      <c r="H7" s="61"/>
      <c r="I7" s="51" t="n">
        <f aca="false">-IS_Proj!I16</f>
        <v>24217182616.4188</v>
      </c>
      <c r="J7" s="51" t="n">
        <f aca="false">-IS_Proj!J16</f>
        <v>24266538531.5989</v>
      </c>
      <c r="K7" s="51" t="n">
        <f aca="false">-IS_Proj!K16</f>
        <v>24345067576.3346</v>
      </c>
      <c r="L7" s="51" t="n">
        <f aca="false">-IS_Proj!L16</f>
        <v>24456415092.3679</v>
      </c>
      <c r="M7" s="51" t="n">
        <f aca="false">-IS_Proj!M16</f>
        <v>24604710285.5554</v>
      </c>
    </row>
    <row r="8" customFormat="false" ht="15" hidden="false" customHeight="false" outlineLevel="0" collapsed="false">
      <c r="A8" s="54" t="s">
        <v>437</v>
      </c>
      <c r="B8" s="13" t="s">
        <v>438</v>
      </c>
      <c r="C8" s="61"/>
      <c r="D8" s="61"/>
      <c r="E8" s="61"/>
      <c r="F8" s="61"/>
      <c r="G8" s="61"/>
      <c r="H8" s="61"/>
      <c r="I8" s="51" t="n">
        <f aca="false">BS_Proj!H7-BS_Proj!I7</f>
        <v>-9896107377.76822</v>
      </c>
      <c r="J8" s="51" t="n">
        <f aca="false">BS_Proj!I7-BS_Proj!J7</f>
        <v>-5468042082.17521</v>
      </c>
      <c r="K8" s="51" t="n">
        <f aca="false">BS_Proj!J7-BS_Proj!K7</f>
        <v>-6182818628.04469</v>
      </c>
      <c r="L8" s="51" t="n">
        <f aca="false">BS_Proj!K7-BS_Proj!L7</f>
        <v>-6992160083.81976</v>
      </c>
      <c r="M8" s="51" t="n">
        <f aca="false">BS_Proj!L7-BS_Proj!M7</f>
        <v>-7908732997.34932</v>
      </c>
    </row>
    <row r="9" customFormat="false" ht="15" hidden="false" customHeight="false" outlineLevel="0" collapsed="false">
      <c r="A9" s="54" t="s">
        <v>439</v>
      </c>
      <c r="B9" s="13" t="s">
        <v>440</v>
      </c>
      <c r="C9" s="61"/>
      <c r="D9" s="61"/>
      <c r="E9" s="61"/>
      <c r="F9" s="61"/>
      <c r="G9" s="61"/>
      <c r="H9" s="61"/>
      <c r="I9" s="51" t="n">
        <f aca="false">BS_Proj!H8-BS_Proj!I8</f>
        <v>-1287538688.43442</v>
      </c>
      <c r="J9" s="51" t="n">
        <f aca="false">BS_Proj!I8-BS_Proj!J8</f>
        <v>-857115596.380964</v>
      </c>
      <c r="K9" s="51" t="n">
        <f aca="false">BS_Proj!J8-BS_Proj!K8</f>
        <v>-969156819.946002</v>
      </c>
      <c r="L9" s="51" t="n">
        <f aca="false">BS_Proj!K8-BS_Proj!L8</f>
        <v>-1096021093.13875</v>
      </c>
      <c r="M9" s="51" t="n">
        <f aca="false">BS_Proj!L8-BS_Proj!M8</f>
        <v>-1239693897.3345</v>
      </c>
    </row>
    <row r="10" customFormat="false" ht="15" hidden="false" customHeight="false" outlineLevel="0" collapsed="false">
      <c r="A10" s="54" t="s">
        <v>441</v>
      </c>
      <c r="B10" s="13" t="s">
        <v>442</v>
      </c>
      <c r="C10" s="61"/>
      <c r="D10" s="61"/>
      <c r="E10" s="61"/>
      <c r="F10" s="61"/>
      <c r="G10" s="61"/>
      <c r="H10" s="61"/>
      <c r="I10" s="51" t="n">
        <f aca="false">BS_Proj!I17-BS_Proj!H17</f>
        <v>5980756998.32262</v>
      </c>
      <c r="J10" s="51" t="n">
        <f aca="false">BS_Proj!J17-BS_Proj!I17</f>
        <v>3506381985.19485</v>
      </c>
      <c r="K10" s="51" t="n">
        <f aca="false">BS_Proj!K17-BS_Proj!J17</f>
        <v>3964732445.23365</v>
      </c>
      <c r="L10" s="51" t="n">
        <f aca="false">BS_Proj!L17-BS_Proj!K17</f>
        <v>4483722653.74942</v>
      </c>
      <c r="M10" s="51" t="n">
        <f aca="false">BS_Proj!M17-BS_Proj!L17</f>
        <v>5071475034.55025</v>
      </c>
    </row>
    <row r="11" customFormat="false" ht="15" hidden="false" customHeight="false" outlineLevel="0" collapsed="false">
      <c r="A11" s="64" t="s">
        <v>443</v>
      </c>
      <c r="B11" s="65" t="s">
        <v>145</v>
      </c>
      <c r="C11" s="66" t="n">
        <f aca="false">CF!C14</f>
        <v>50302794090</v>
      </c>
      <c r="D11" s="66" t="n">
        <f aca="false">CF!D14</f>
        <v>47129089642</v>
      </c>
      <c r="E11" s="66" t="n">
        <f aca="false">CF!E14</f>
        <v>-48836369112</v>
      </c>
      <c r="F11" s="66" t="n">
        <f aca="false">CF!F14</f>
        <v>-83033264168</v>
      </c>
      <c r="G11" s="66" t="n">
        <f aca="false">CF!G14</f>
        <v>-113011184320</v>
      </c>
      <c r="H11" s="66" t="n">
        <f aca="false">CF!H14</f>
        <v>45886904636</v>
      </c>
      <c r="I11" s="67" t="n">
        <f aca="false">I6+I7+I8+I9+I10</f>
        <v>-62856400830.3635</v>
      </c>
      <c r="J11" s="67" t="n">
        <f aca="false">J6+J7+J8+J9+J10</f>
        <v>-59565382549.4546</v>
      </c>
      <c r="K11" s="67" t="n">
        <f aca="false">K6+K7+K8+K9+K10</f>
        <v>-58681949261.3079</v>
      </c>
      <c r="L11" s="67" t="n">
        <f aca="false">L6+L7+L8+L9+L10</f>
        <v>-57512224417.5828</v>
      </c>
      <c r="M11" s="67" t="n">
        <f aca="false">M6+M7+M8+M9+M10</f>
        <v>-56014889578.8947</v>
      </c>
      <c r="N11" s="15" t="s">
        <v>444</v>
      </c>
    </row>
    <row r="12" customFormat="false" ht="15" hidden="false" customHeight="false" outlineLevel="0" collapsed="false">
      <c r="A12" s="16"/>
      <c r="B12" s="17" t="s">
        <v>445</v>
      </c>
      <c r="C12" s="16"/>
      <c r="D12" s="16"/>
      <c r="E12" s="16"/>
      <c r="F12" s="16"/>
      <c r="G12" s="16"/>
      <c r="H12" s="16"/>
      <c r="I12" s="16"/>
      <c r="J12" s="16"/>
      <c r="K12" s="16"/>
      <c r="L12" s="16"/>
      <c r="M12" s="16"/>
      <c r="N12" s="16"/>
    </row>
    <row r="13" customFormat="false" ht="15" hidden="false" customHeight="false" outlineLevel="0" collapsed="false">
      <c r="A13" s="54" t="s">
        <v>446</v>
      </c>
      <c r="B13" s="13" t="s">
        <v>447</v>
      </c>
      <c r="C13" s="50" t="n">
        <f aca="false">CF!C22+CF!C21</f>
        <v>-522268123814</v>
      </c>
      <c r="D13" s="50" t="n">
        <f aca="false">CF!D22+CF!D21</f>
        <v>-310404936909</v>
      </c>
      <c r="E13" s="50" t="n">
        <f aca="false">CF!E22+CF!E21</f>
        <v>-290453639673</v>
      </c>
      <c r="F13" s="50" t="n">
        <f aca="false">CF!F22+CF!F21</f>
        <v>-12562010950</v>
      </c>
      <c r="G13" s="50" t="n">
        <f aca="false">CF!G22+CF!G21</f>
        <v>-226929983578</v>
      </c>
      <c r="H13" s="50" t="n">
        <f aca="false">CF!H22+CF!H21</f>
        <v>-210756461260</v>
      </c>
      <c r="I13" s="51" t="n">
        <f aca="false">-Schedules_Proj!I7</f>
        <v>-30886900884.0008</v>
      </c>
      <c r="J13" s="51" t="n">
        <f aca="false">-Schedules_Proj!J7</f>
        <v>-34878571603.9887</v>
      </c>
      <c r="K13" s="51" t="n">
        <f aca="false">-Schedules_Proj!K7</f>
        <v>-39392029202.4613</v>
      </c>
      <c r="L13" s="51" t="n">
        <f aca="false">-Schedules_Proj!L7</f>
        <v>-44496306063.6498</v>
      </c>
      <c r="M13" s="51" t="n">
        <f aca="false">-Schedules_Proj!M7</f>
        <v>-50269681151.7147</v>
      </c>
    </row>
    <row r="14" customFormat="false" ht="15" hidden="false" customHeight="false" outlineLevel="0" collapsed="false">
      <c r="A14" s="54" t="s">
        <v>448</v>
      </c>
      <c r="B14" s="13" t="s">
        <v>449</v>
      </c>
      <c r="C14" s="73" t="n">
        <f aca="false">0</f>
        <v>0</v>
      </c>
      <c r="D14" s="73" t="n">
        <f aca="false">0</f>
        <v>0</v>
      </c>
      <c r="E14" s="73" t="n">
        <f aca="false">0</f>
        <v>0</v>
      </c>
      <c r="F14" s="73" t="n">
        <f aca="false">0</f>
        <v>0</v>
      </c>
      <c r="G14" s="73" t="n">
        <f aca="false">0</f>
        <v>0</v>
      </c>
      <c r="H14" s="73" t="n">
        <f aca="false">0</f>
        <v>0</v>
      </c>
      <c r="I14" s="51" t="n">
        <f aca="false">-Schedules_Proj!I14</f>
        <v>-0</v>
      </c>
      <c r="J14" s="51" t="n">
        <f aca="false">-Schedules_Proj!J14</f>
        <v>-0</v>
      </c>
      <c r="K14" s="51" t="n">
        <f aca="false">-Schedules_Proj!K14</f>
        <v>-0</v>
      </c>
      <c r="L14" s="51" t="n">
        <f aca="false">-Schedules_Proj!L14</f>
        <v>-0</v>
      </c>
      <c r="M14" s="51" t="n">
        <f aca="false">-Schedules_Proj!M14</f>
        <v>-0</v>
      </c>
    </row>
    <row r="15" customFormat="false" ht="15" hidden="false" customHeight="false" outlineLevel="0" collapsed="false">
      <c r="A15" s="64" t="s">
        <v>450</v>
      </c>
      <c r="B15" s="65" t="s">
        <v>451</v>
      </c>
      <c r="C15" s="66" t="n">
        <f aca="false">CF!C23</f>
        <v>-502268123814</v>
      </c>
      <c r="D15" s="66" t="n">
        <f aca="false">CF!D23</f>
        <v>-760313339809</v>
      </c>
      <c r="E15" s="66" t="n">
        <f aca="false">CF!E23</f>
        <v>39827160327</v>
      </c>
      <c r="F15" s="66" t="n">
        <f aca="false">CF!F23</f>
        <v>78509989050</v>
      </c>
      <c r="G15" s="66" t="n">
        <f aca="false">CF!G23</f>
        <v>42526142886</v>
      </c>
      <c r="H15" s="66" t="n">
        <f aca="false">CF!H23</f>
        <v>-218206301905</v>
      </c>
      <c r="I15" s="67" t="n">
        <f aca="false">I13+I14</f>
        <v>-30886900884.0008</v>
      </c>
      <c r="J15" s="67" t="n">
        <f aca="false">J13+J14</f>
        <v>-34878571603.9887</v>
      </c>
      <c r="K15" s="67" t="n">
        <f aca="false">K13+K14</f>
        <v>-39392029202.4613</v>
      </c>
      <c r="L15" s="67" t="n">
        <f aca="false">L13+L14</f>
        <v>-44496306063.6498</v>
      </c>
      <c r="M15" s="67" t="n">
        <f aca="false">M13+M14</f>
        <v>-50269681151.7147</v>
      </c>
      <c r="N15" s="15" t="s">
        <v>452</v>
      </c>
    </row>
    <row r="16" customFormat="false" ht="15" hidden="false" customHeight="false" outlineLevel="0" collapsed="false">
      <c r="A16" s="16"/>
      <c r="B16" s="17" t="s">
        <v>453</v>
      </c>
      <c r="C16" s="16"/>
      <c r="D16" s="16"/>
      <c r="E16" s="16"/>
      <c r="F16" s="16"/>
      <c r="G16" s="16"/>
      <c r="H16" s="16"/>
      <c r="I16" s="16"/>
      <c r="J16" s="16"/>
      <c r="K16" s="16"/>
      <c r="L16" s="16"/>
      <c r="M16" s="16"/>
      <c r="N16" s="16"/>
    </row>
    <row r="17" customFormat="false" ht="15" hidden="false" customHeight="false" outlineLevel="0" collapsed="false">
      <c r="A17" s="54" t="s">
        <v>454</v>
      </c>
      <c r="B17" s="13" t="s">
        <v>455</v>
      </c>
      <c r="C17" s="50" t="n">
        <f aca="false">(CF!C25+CF!C26+CF!C27+CF!C28+CF!C29+CF!C30+CF!C31+CF!C32+CF!C33)</f>
        <v>-16561701376</v>
      </c>
      <c r="D17" s="50" t="n">
        <f aca="false">(CF!D25+CF!D26+CF!D27+CF!D28+CF!D29+CF!D30+CF!D31+CF!D32+CF!D33)</f>
        <v>727901075221</v>
      </c>
      <c r="E17" s="50" t="n">
        <f aca="false">(CF!E25+CF!E26+CF!E27+CF!E28+CF!E29+CF!E30+CF!E31+CF!E32+CF!E33)</f>
        <v>-243121219</v>
      </c>
      <c r="F17" s="50" t="n">
        <f aca="false">(CF!F25+CF!F26+CF!F27+CF!F28+CF!F29+CF!F30+CF!F31+CF!F32+CF!F33)</f>
        <v>-3317513427</v>
      </c>
      <c r="G17" s="50" t="n">
        <f aca="false">(CF!G25+CF!G26+CF!G27+CF!G28+CF!G29+CF!G30+CF!G31+CF!G32+CF!G33)</f>
        <v>-5763124276</v>
      </c>
      <c r="H17" s="50" t="n">
        <f aca="false">(CF!H25+CF!H26+CF!H27+CF!H28+CF!H29+CF!H30+CF!H31+CF!H32+CF!H33)</f>
        <v>142165771092</v>
      </c>
      <c r="I17" s="51" t="n">
        <f aca="false">Asumsi!I29</f>
        <v>0</v>
      </c>
      <c r="J17" s="51" t="n">
        <f aca="false">Asumsi!J29</f>
        <v>0</v>
      </c>
      <c r="K17" s="51" t="n">
        <f aca="false">Asumsi!K29</f>
        <v>0</v>
      </c>
      <c r="L17" s="51" t="n">
        <f aca="false">Asumsi!L29</f>
        <v>0</v>
      </c>
      <c r="M17" s="51" t="n">
        <f aca="false">Asumsi!M29</f>
        <v>0</v>
      </c>
    </row>
    <row r="18" customFormat="false" ht="15" hidden="false" customHeight="false" outlineLevel="0" collapsed="false">
      <c r="A18" s="54" t="s">
        <v>456</v>
      </c>
      <c r="B18" s="13" t="s">
        <v>457</v>
      </c>
      <c r="C18" s="73" t="n">
        <f aca="false">0</f>
        <v>0</v>
      </c>
      <c r="D18" s="73" t="n">
        <f aca="false">0</f>
        <v>0</v>
      </c>
      <c r="E18" s="73" t="n">
        <f aca="false">0</f>
        <v>0</v>
      </c>
      <c r="F18" s="73" t="n">
        <f aca="false">0</f>
        <v>0</v>
      </c>
      <c r="G18" s="73" t="n">
        <f aca="false">0</f>
        <v>0</v>
      </c>
      <c r="H18" s="73" t="n">
        <f aca="false">0</f>
        <v>0</v>
      </c>
      <c r="I18" s="51" t="n">
        <f aca="false">-Schedules_Proj!I8</f>
        <v>-0</v>
      </c>
      <c r="J18" s="51" t="n">
        <f aca="false">-Schedules_Proj!J8</f>
        <v>-0</v>
      </c>
      <c r="K18" s="51" t="n">
        <f aca="false">-Schedules_Proj!K8</f>
        <v>-0</v>
      </c>
      <c r="L18" s="51" t="n">
        <f aca="false">-Schedules_Proj!L8</f>
        <v>-0</v>
      </c>
      <c r="M18" s="51" t="n">
        <f aca="false">-Schedules_Proj!M8</f>
        <v>-0</v>
      </c>
    </row>
    <row r="19" customFormat="false" ht="15" hidden="false" customHeight="false" outlineLevel="0" collapsed="false">
      <c r="A19" s="54" t="s">
        <v>458</v>
      </c>
      <c r="B19" s="13" t="s">
        <v>459</v>
      </c>
      <c r="C19" s="50" t="n">
        <f aca="false">CF!C38</f>
        <v>0</v>
      </c>
      <c r="D19" s="50" t="n">
        <f aca="false">CF!D38</f>
        <v>0</v>
      </c>
      <c r="E19" s="50" t="n">
        <f aca="false">CF!E38</f>
        <v>0</v>
      </c>
      <c r="F19" s="50" t="n">
        <f aca="false">CF!F38</f>
        <v>0</v>
      </c>
      <c r="G19" s="50" t="n">
        <f aca="false">CF!G38</f>
        <v>0</v>
      </c>
      <c r="H19" s="50" t="n">
        <f aca="false">CF!H38</f>
        <v>0</v>
      </c>
      <c r="I19" s="51" t="n">
        <f aca="false">-Asumsi!I30*MAX(IS_Proj!H25,0)</f>
        <v>-0</v>
      </c>
      <c r="J19" s="51" t="n">
        <f aca="false">-Asumsi!J30*MAX(IS_Proj!I25,0)</f>
        <v>-0</v>
      </c>
      <c r="K19" s="51" t="n">
        <f aca="false">-Asumsi!K30*MAX(IS_Proj!J25,0)</f>
        <v>-0</v>
      </c>
      <c r="L19" s="51" t="n">
        <f aca="false">-Asumsi!L30*MAX(IS_Proj!K25,0)</f>
        <v>-0</v>
      </c>
      <c r="M19" s="51" t="n">
        <f aca="false">-Asumsi!M30*MAX(IS_Proj!L25,0)</f>
        <v>-0</v>
      </c>
    </row>
    <row r="20" customFormat="false" ht="15" hidden="false" customHeight="false" outlineLevel="0" collapsed="false">
      <c r="A20" s="64" t="s">
        <v>460</v>
      </c>
      <c r="B20" s="65" t="s">
        <v>461</v>
      </c>
      <c r="C20" s="66" t="n">
        <f aca="false">CF!C39</f>
        <v>970495601854</v>
      </c>
      <c r="D20" s="66" t="n">
        <f aca="false">CF!D39</f>
        <v>727451787424</v>
      </c>
      <c r="E20" s="66" t="n">
        <f aca="false">CF!E39</f>
        <v>249408214</v>
      </c>
      <c r="F20" s="66" t="n">
        <f aca="false">CF!F39</f>
        <v>-2921809524</v>
      </c>
      <c r="G20" s="66" t="n">
        <f aca="false">CF!G39</f>
        <v>-6208243672</v>
      </c>
      <c r="H20" s="66" t="n">
        <f aca="false">CF!H39</f>
        <v>143453828301</v>
      </c>
      <c r="I20" s="67" t="n">
        <f aca="false">I17+I18+I19</f>
        <v>0</v>
      </c>
      <c r="J20" s="67" t="n">
        <f aca="false">J17+J18+J19</f>
        <v>0</v>
      </c>
      <c r="K20" s="67" t="n">
        <f aca="false">K17+K18+K19</f>
        <v>0</v>
      </c>
      <c r="L20" s="67" t="n">
        <f aca="false">L17+L18+L19</f>
        <v>0</v>
      </c>
      <c r="M20" s="67" t="n">
        <f aca="false">M17+M18+M19</f>
        <v>0</v>
      </c>
      <c r="N20" s="15" t="s">
        <v>462</v>
      </c>
    </row>
    <row r="22" customFormat="false" ht="15" hidden="false" customHeight="false" outlineLevel="0" collapsed="false">
      <c r="A22" s="64" t="s">
        <v>463</v>
      </c>
      <c r="B22" s="65" t="s">
        <v>464</v>
      </c>
      <c r="C22" s="67" t="n">
        <f aca="false">C11+C15+C20</f>
        <v>518530272130</v>
      </c>
      <c r="D22" s="67" t="n">
        <f aca="false">D11+D15+D20</f>
        <v>14267537257</v>
      </c>
      <c r="E22" s="67" t="n">
        <f aca="false">E11+E15+E20</f>
        <v>-8759800571</v>
      </c>
      <c r="F22" s="67" t="n">
        <f aca="false">F11+F15+F20</f>
        <v>-7445084642</v>
      </c>
      <c r="G22" s="67" t="n">
        <f aca="false">G11+G15+G20</f>
        <v>-76693285106</v>
      </c>
      <c r="H22" s="67" t="n">
        <f aca="false">H11+H15+H20</f>
        <v>-28865568968</v>
      </c>
      <c r="I22" s="67" t="n">
        <f aca="false">I11+I15+I20</f>
        <v>-93743301714.3643</v>
      </c>
      <c r="J22" s="67" t="n">
        <f aca="false">J11+J15+J20</f>
        <v>-94443954153.4433</v>
      </c>
      <c r="K22" s="67" t="n">
        <f aca="false">K11+K15+K20</f>
        <v>-98073978463.7692</v>
      </c>
      <c r="L22" s="67" t="n">
        <f aca="false">L11+L15+L20</f>
        <v>-102008530481.233</v>
      </c>
      <c r="M22" s="67" t="n">
        <f aca="false">M11+M15+M20</f>
        <v>-106284570730.609</v>
      </c>
    </row>
    <row r="23" customFormat="false" ht="15" hidden="false" customHeight="false" outlineLevel="0" collapsed="false">
      <c r="A23" s="54" t="s">
        <v>465</v>
      </c>
      <c r="B23" s="13" t="s">
        <v>466</v>
      </c>
      <c r="C23" s="50" t="n">
        <f aca="false">CF!C41</f>
        <v>6949421674</v>
      </c>
      <c r="D23" s="50" t="n">
        <f aca="false">CF!D41</f>
        <v>525479693804</v>
      </c>
      <c r="E23" s="50" t="n">
        <f aca="false">CF!E41</f>
        <v>542400475238</v>
      </c>
      <c r="F23" s="50" t="n">
        <f aca="false">CF!F41</f>
        <v>533208033479</v>
      </c>
      <c r="G23" s="50" t="n">
        <f aca="false">CF!G41</f>
        <v>525762948837</v>
      </c>
      <c r="H23" s="50" t="n">
        <f aca="false">CF!H41</f>
        <v>449069663731</v>
      </c>
      <c r="I23" s="51" t="n">
        <f aca="false">BS_Proj!H6</f>
        <v>420204094763</v>
      </c>
      <c r="J23" s="51" t="n">
        <f aca="false">BS_Proj!I6</f>
        <v>326460793048.636</v>
      </c>
      <c r="K23" s="51" t="n">
        <f aca="false">BS_Proj!J6</f>
        <v>232016838895.192</v>
      </c>
      <c r="L23" s="51" t="n">
        <f aca="false">BS_Proj!K6</f>
        <v>133942860431.423</v>
      </c>
      <c r="M23" s="51" t="n">
        <f aca="false">BS_Proj!L6</f>
        <v>31934329950.1907</v>
      </c>
      <c r="N23" s="15" t="s">
        <v>467</v>
      </c>
    </row>
    <row r="24" customFormat="false" ht="15" hidden="false" customHeight="false" outlineLevel="0" collapsed="false">
      <c r="A24" s="64" t="s">
        <v>468</v>
      </c>
      <c r="B24" s="65" t="s">
        <v>469</v>
      </c>
      <c r="C24" s="67" t="n">
        <f aca="false">C23+C22</f>
        <v>525479693804</v>
      </c>
      <c r="D24" s="67" t="n">
        <f aca="false">D23+D22</f>
        <v>539747231061</v>
      </c>
      <c r="E24" s="67" t="n">
        <f aca="false">E23+E22</f>
        <v>533640674667</v>
      </c>
      <c r="F24" s="67" t="n">
        <f aca="false">F23+F22</f>
        <v>525762948837</v>
      </c>
      <c r="G24" s="67" t="n">
        <f aca="false">G23+G22</f>
        <v>449069663731</v>
      </c>
      <c r="H24" s="67" t="n">
        <f aca="false">H23+H22</f>
        <v>420204094763</v>
      </c>
      <c r="I24" s="67" t="n">
        <f aca="false">I23+I22</f>
        <v>326460793048.636</v>
      </c>
      <c r="J24" s="67" t="n">
        <f aca="false">J23+J22</f>
        <v>232016838895.192</v>
      </c>
      <c r="K24" s="67" t="n">
        <f aca="false">K23+K22</f>
        <v>133942860431.423</v>
      </c>
      <c r="L24" s="67" t="n">
        <f aca="false">L23+L22</f>
        <v>31934329950.1907</v>
      </c>
      <c r="M24" s="67" t="n">
        <f aca="false">M23+M22</f>
        <v>-74350240780.4187</v>
      </c>
    </row>
    <row r="25" customFormat="false" ht="15" hidden="false" customHeight="false" outlineLevel="0" collapsed="false">
      <c r="A25" s="16"/>
      <c r="B25" s="17" t="s">
        <v>470</v>
      </c>
      <c r="C25" s="16"/>
      <c r="D25" s="16"/>
      <c r="E25" s="16"/>
      <c r="F25" s="16"/>
      <c r="G25" s="16"/>
      <c r="H25" s="16"/>
      <c r="I25" s="16"/>
      <c r="J25" s="16"/>
      <c r="K25" s="16"/>
      <c r="L25" s="16"/>
      <c r="M25" s="16"/>
      <c r="N25" s="16"/>
    </row>
    <row r="26" customFormat="false" ht="15" hidden="false" customHeight="false" outlineLevel="0" collapsed="false">
      <c r="A26" s="54" t="s">
        <v>471</v>
      </c>
      <c r="B26" s="13" t="s">
        <v>472</v>
      </c>
      <c r="C26" s="73" t="n">
        <f aca="false">C11+C13+N(C14)</f>
        <v>-471965329724</v>
      </c>
      <c r="D26" s="73" t="n">
        <f aca="false">D11+D13+N(D14)</f>
        <v>-263275847267</v>
      </c>
      <c r="E26" s="73" t="n">
        <f aca="false">E11+E13+N(E14)</f>
        <v>-339290008785</v>
      </c>
      <c r="F26" s="73" t="n">
        <f aca="false">F11+F13+N(F14)</f>
        <v>-95595275118</v>
      </c>
      <c r="G26" s="73" t="n">
        <f aca="false">G11+G13+N(G14)</f>
        <v>-339941167898</v>
      </c>
      <c r="H26" s="73" t="n">
        <f aca="false">H11+H13+N(H14)</f>
        <v>-164869556624</v>
      </c>
      <c r="I26" s="63" t="n">
        <f aca="false">I11+I13+I14</f>
        <v>-93743301714.3643</v>
      </c>
      <c r="J26" s="63" t="n">
        <f aca="false">J11+J13+J14</f>
        <v>-94443954153.4433</v>
      </c>
      <c r="K26" s="63" t="n">
        <f aca="false">K11+K13+K14</f>
        <v>-98073978463.7692</v>
      </c>
      <c r="L26" s="63" t="n">
        <f aca="false">L11+L13+L14</f>
        <v>-102008530481.233</v>
      </c>
      <c r="M26" s="63" t="n">
        <f aca="false">M11+M13+M14</f>
        <v>-106284570730.609</v>
      </c>
    </row>
    <row r="27" customFormat="false" ht="15" hidden="false" customHeight="false" outlineLevel="0" collapsed="false">
      <c r="A27" s="54" t="s">
        <v>473</v>
      </c>
      <c r="B27" s="13" t="s">
        <v>474</v>
      </c>
      <c r="C27" s="73" t="n">
        <f aca="false">C26+C18</f>
        <v>-471965329724</v>
      </c>
      <c r="D27" s="73" t="n">
        <f aca="false">D26+D18</f>
        <v>-263275847267</v>
      </c>
      <c r="E27" s="73" t="n">
        <f aca="false">E26+E18</f>
        <v>-339290008785</v>
      </c>
      <c r="F27" s="73" t="n">
        <f aca="false">F26+F18</f>
        <v>-95595275118</v>
      </c>
      <c r="G27" s="73" t="n">
        <f aca="false">G26+G18</f>
        <v>-339941167898</v>
      </c>
      <c r="H27" s="73" t="n">
        <f aca="false">H26+H18</f>
        <v>-164869556624</v>
      </c>
      <c r="I27" s="63" t="n">
        <f aca="false">I26+I18</f>
        <v>-93743301714.3643</v>
      </c>
      <c r="J27" s="63" t="n">
        <f aca="false">J26+J18</f>
        <v>-94443954153.4433</v>
      </c>
      <c r="K27" s="63" t="n">
        <f aca="false">K26+K18</f>
        <v>-98073978463.7692</v>
      </c>
      <c r="L27" s="63" t="n">
        <f aca="false">L26+L18</f>
        <v>-102008530481.233</v>
      </c>
      <c r="M27" s="63" t="n">
        <f aca="false">M26+M18</f>
        <v>-106284570730.609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475</v>
      </c>
    </row>
    <row r="2" customFormat="false" ht="15" hidden="false" customHeight="false" outlineLevel="0" collapsed="false">
      <c r="A2" s="15" t="s">
        <v>316</v>
      </c>
    </row>
    <row r="3" customFormat="false" ht="15" hidden="false" customHeight="false" outlineLevel="0" collapsed="false">
      <c r="A3" s="4" t="s">
        <v>170</v>
      </c>
      <c r="C3" s="42" t="str">
        <f aca="false">Asumsi!C4</f>
        <v>Base</v>
      </c>
      <c r="I3" s="15" t="s">
        <v>317</v>
      </c>
      <c r="J3" s="15" t="s">
        <v>317</v>
      </c>
      <c r="K3" s="15" t="s">
        <v>317</v>
      </c>
      <c r="L3" s="15" t="s">
        <v>317</v>
      </c>
      <c r="M3" s="15" t="s">
        <v>317</v>
      </c>
    </row>
    <row r="4" customFormat="false" ht="15" hidden="false" customHeight="false" outlineLevel="0" collapsed="false">
      <c r="A4" s="25" t="s">
        <v>318</v>
      </c>
      <c r="B4" s="25" t="s">
        <v>319</v>
      </c>
      <c r="C4" s="25" t="s">
        <v>130</v>
      </c>
      <c r="D4" s="25" t="s">
        <v>131</v>
      </c>
      <c r="E4" s="25" t="s">
        <v>132</v>
      </c>
      <c r="F4" s="25" t="s">
        <v>133</v>
      </c>
      <c r="G4" s="25" t="s">
        <v>134</v>
      </c>
      <c r="H4" s="25" t="s">
        <v>135</v>
      </c>
      <c r="I4" s="43" t="s">
        <v>171</v>
      </c>
      <c r="J4" s="43" t="s">
        <v>172</v>
      </c>
      <c r="K4" s="43" t="s">
        <v>173</v>
      </c>
      <c r="L4" s="43" t="s">
        <v>174</v>
      </c>
      <c r="M4" s="43" t="s">
        <v>175</v>
      </c>
      <c r="N4" s="25" t="s">
        <v>320</v>
      </c>
    </row>
    <row r="5" customFormat="false" ht="15" hidden="false" customHeight="false" outlineLevel="0" collapsed="false">
      <c r="A5" s="16"/>
      <c r="B5" s="17" t="s">
        <v>476</v>
      </c>
      <c r="C5" s="16"/>
      <c r="D5" s="16"/>
      <c r="E5" s="16"/>
      <c r="F5" s="16"/>
      <c r="G5" s="16"/>
      <c r="H5" s="16"/>
      <c r="I5" s="16"/>
      <c r="J5" s="16"/>
      <c r="K5" s="16"/>
      <c r="L5" s="16"/>
      <c r="M5" s="16"/>
      <c r="N5" s="16"/>
    </row>
    <row r="6" customFormat="false" ht="15" hidden="false" customHeight="false" outlineLevel="0" collapsed="false">
      <c r="A6" s="54" t="s">
        <v>477</v>
      </c>
      <c r="B6" s="13" t="s">
        <v>478</v>
      </c>
      <c r="C6" s="61"/>
      <c r="D6" s="61"/>
      <c r="E6" s="61"/>
      <c r="F6" s="61"/>
      <c r="G6" s="61"/>
      <c r="H6" s="61"/>
      <c r="I6" s="51" t="n">
        <f aca="false">BS_Proj!H11</f>
        <v>3272592245462</v>
      </c>
      <c r="J6" s="51" t="n">
        <f aca="false">BS_Proj!I11</f>
        <v>3279261963729.58</v>
      </c>
      <c r="K6" s="51" t="n">
        <f aca="false">BS_Proj!J11</f>
        <v>3289873996801.97</v>
      </c>
      <c r="L6" s="51" t="n">
        <f aca="false">BS_Proj!K11</f>
        <v>3304920958428.1</v>
      </c>
      <c r="M6" s="51" t="n">
        <f aca="false">BS_Proj!L11</f>
        <v>3324960849399.38</v>
      </c>
    </row>
    <row r="7" customFormat="false" ht="15" hidden="false" customHeight="false" outlineLevel="0" collapsed="false">
      <c r="A7" s="54" t="s">
        <v>479</v>
      </c>
      <c r="B7" s="13" t="s">
        <v>480</v>
      </c>
      <c r="C7" s="50" t="n">
        <f aca="false">-(CF!C22+CF!C21)</f>
        <v>522268123814</v>
      </c>
      <c r="D7" s="50" t="n">
        <f aca="false">-(CF!D22+CF!D21)</f>
        <v>310404936909</v>
      </c>
      <c r="E7" s="50" t="n">
        <f aca="false">-(CF!E22+CF!E21)</f>
        <v>290453639673</v>
      </c>
      <c r="F7" s="50" t="n">
        <f aca="false">-(CF!F22+CF!F21)</f>
        <v>12562010950</v>
      </c>
      <c r="G7" s="50" t="n">
        <f aca="false">-(CF!G22+CF!G21)</f>
        <v>226929983578</v>
      </c>
      <c r="H7" s="50" t="n">
        <f aca="false">-(CF!H22+CF!H21)</f>
        <v>210756461260</v>
      </c>
      <c r="I7" s="51" t="n">
        <f aca="false">Asumsi!I17*IS_Proj!I9</f>
        <v>30886900884.0008</v>
      </c>
      <c r="J7" s="51" t="n">
        <f aca="false">Asumsi!J17*IS_Proj!J9</f>
        <v>34878571603.9887</v>
      </c>
      <c r="K7" s="51" t="n">
        <f aca="false">Asumsi!K17*IS_Proj!K9</f>
        <v>39392029202.4613</v>
      </c>
      <c r="L7" s="51" t="n">
        <f aca="false">Asumsi!L17*IS_Proj!L9</f>
        <v>44496306063.6498</v>
      </c>
      <c r="M7" s="51" t="n">
        <f aca="false">Asumsi!M17*IS_Proj!M9</f>
        <v>50269681151.7147</v>
      </c>
    </row>
    <row r="8" customFormat="false" ht="15" hidden="false" customHeight="false" outlineLevel="0" collapsed="false">
      <c r="A8" s="54" t="s">
        <v>481</v>
      </c>
      <c r="B8" s="13" t="s">
        <v>482</v>
      </c>
      <c r="C8" s="73" t="n">
        <f aca="false">0</f>
        <v>0</v>
      </c>
      <c r="D8" s="73" t="n">
        <f aca="false">0</f>
        <v>0</v>
      </c>
      <c r="E8" s="73" t="n">
        <f aca="false">0</f>
        <v>0</v>
      </c>
      <c r="F8" s="73" t="n">
        <f aca="false">0</f>
        <v>0</v>
      </c>
      <c r="G8" s="73" t="n">
        <f aca="false">0</f>
        <v>0</v>
      </c>
      <c r="H8" s="73" t="n">
        <f aca="false">0</f>
        <v>0</v>
      </c>
      <c r="I8" s="51" t="n">
        <f aca="false">Asumsi!I18*IS_Proj!I9</f>
        <v>0</v>
      </c>
      <c r="J8" s="51" t="n">
        <f aca="false">Asumsi!J18*IS_Proj!J9</f>
        <v>0</v>
      </c>
      <c r="K8" s="51" t="n">
        <f aca="false">Asumsi!K18*IS_Proj!K9</f>
        <v>0</v>
      </c>
      <c r="L8" s="51" t="n">
        <f aca="false">Asumsi!L18*IS_Proj!L9</f>
        <v>0</v>
      </c>
      <c r="M8" s="51" t="n">
        <f aca="false">Asumsi!M18*IS_Proj!M9</f>
        <v>0</v>
      </c>
    </row>
    <row r="9" customFormat="false" ht="15" hidden="false" customHeight="false" outlineLevel="0" collapsed="false">
      <c r="A9" s="54" t="s">
        <v>483</v>
      </c>
      <c r="B9" s="13" t="s">
        <v>484</v>
      </c>
      <c r="C9" s="61"/>
      <c r="D9" s="50" t="n">
        <f aca="false">Schedules!D14</f>
        <v>17297314280</v>
      </c>
      <c r="E9" s="50" t="n">
        <f aca="false">Schedules!E14</f>
        <v>22877629559</v>
      </c>
      <c r="F9" s="50" t="n">
        <f aca="false">Schedules!F14</f>
        <v>21584974350</v>
      </c>
      <c r="G9" s="50" t="n">
        <f aca="false">Schedules!G14</f>
        <v>25515756073</v>
      </c>
      <c r="H9" s="50" t="n">
        <f aca="false">Schedules!H14</f>
        <v>26326052136</v>
      </c>
      <c r="I9" s="51" t="n">
        <f aca="false">I6*Asumsi!I19</f>
        <v>24217182616.4188</v>
      </c>
      <c r="J9" s="51" t="n">
        <f aca="false">J6*Asumsi!J19</f>
        <v>24266538531.5989</v>
      </c>
      <c r="K9" s="51" t="n">
        <f aca="false">K6*Asumsi!K19</f>
        <v>24345067576.3346</v>
      </c>
      <c r="L9" s="51" t="n">
        <f aca="false">L6*Asumsi!L19</f>
        <v>24456415092.3679</v>
      </c>
      <c r="M9" s="51" t="n">
        <f aca="false">M6*Asumsi!M19</f>
        <v>24604710285.5554</v>
      </c>
    </row>
    <row r="10" customFormat="false" ht="15" hidden="false" customHeight="false" outlineLevel="0" collapsed="false">
      <c r="A10" s="64" t="s">
        <v>485</v>
      </c>
      <c r="B10" s="65" t="s">
        <v>486</v>
      </c>
      <c r="C10" s="66" t="n">
        <f aca="false">BS!C16</f>
        <v>2175317280881</v>
      </c>
      <c r="D10" s="66" t="n">
        <f aca="false">BS!D16</f>
        <v>2915791008035</v>
      </c>
      <c r="E10" s="66" t="n">
        <f aca="false">BS!E16</f>
        <v>3337354211724</v>
      </c>
      <c r="F10" s="66" t="n">
        <f aca="false">BS!F16</f>
        <v>3330399614118</v>
      </c>
      <c r="G10" s="66" t="n">
        <f aca="false">BS!G16</f>
        <v>3257425244004</v>
      </c>
      <c r="H10" s="66" t="n">
        <f aca="false">BS!H16</f>
        <v>3272592245462</v>
      </c>
      <c r="I10" s="67" t="n">
        <f aca="false">I6+I7+I8-I9</f>
        <v>3279261963729.58</v>
      </c>
      <c r="J10" s="67" t="n">
        <f aca="false">J6+J7+J8-J9</f>
        <v>3289873996801.97</v>
      </c>
      <c r="K10" s="67" t="n">
        <f aca="false">K6+K7+K8-K9</f>
        <v>3304920958428.1</v>
      </c>
      <c r="L10" s="67" t="n">
        <f aca="false">L6+L7+L8-L9</f>
        <v>3324960849399.38</v>
      </c>
      <c r="M10" s="67" t="n">
        <f aca="false">M6+M7+M8-M9</f>
        <v>3350625820265.54</v>
      </c>
      <c r="N10" s="15" t="s">
        <v>487</v>
      </c>
    </row>
    <row r="11" customFormat="false" ht="15" hidden="false" customHeight="false" outlineLevel="0" collapsed="false">
      <c r="A11" s="16"/>
      <c r="B11" s="17" t="s">
        <v>488</v>
      </c>
      <c r="C11" s="16"/>
      <c r="D11" s="16"/>
      <c r="E11" s="16"/>
      <c r="F11" s="16"/>
      <c r="G11" s="16"/>
      <c r="H11" s="16"/>
      <c r="I11" s="16"/>
      <c r="J11" s="16"/>
      <c r="K11" s="16"/>
      <c r="L11" s="16"/>
      <c r="M11" s="16"/>
      <c r="N11" s="16"/>
    </row>
    <row r="12" customFormat="false" ht="15" hidden="false" customHeight="false" outlineLevel="0" collapsed="false">
      <c r="A12" s="54" t="s">
        <v>489</v>
      </c>
      <c r="B12" s="13" t="s">
        <v>490</v>
      </c>
      <c r="C12" s="61"/>
      <c r="D12" s="61"/>
      <c r="E12" s="61"/>
      <c r="F12" s="61"/>
      <c r="G12" s="61"/>
      <c r="H12" s="61"/>
      <c r="I12" s="51" t="n">
        <f aca="false">BS_Proj!H12</f>
        <v>0</v>
      </c>
      <c r="J12" s="51" t="n">
        <f aca="false">BS_Proj!I12</f>
        <v>0</v>
      </c>
      <c r="K12" s="51" t="n">
        <f aca="false">BS_Proj!J12</f>
        <v>0</v>
      </c>
      <c r="L12" s="51" t="n">
        <f aca="false">BS_Proj!K12</f>
        <v>0</v>
      </c>
      <c r="M12" s="51" t="n">
        <f aca="false">BS_Proj!L12</f>
        <v>0</v>
      </c>
    </row>
    <row r="13" customFormat="false" ht="15" hidden="false" customHeight="false" outlineLevel="0" collapsed="false">
      <c r="A13" s="54" t="s">
        <v>491</v>
      </c>
      <c r="B13" s="13" t="s">
        <v>492</v>
      </c>
      <c r="C13" s="61"/>
      <c r="D13" s="50" t="n">
        <f aca="false">Schedules!D17</f>
        <v>0</v>
      </c>
      <c r="E13" s="50" t="n">
        <f aca="false">Schedules!E17</f>
        <v>0</v>
      </c>
      <c r="F13" s="50" t="n">
        <f aca="false">Schedules!F17</f>
        <v>0</v>
      </c>
      <c r="G13" s="50" t="n">
        <f aca="false">Schedules!G17</f>
        <v>0</v>
      </c>
      <c r="H13" s="50" t="n">
        <f aca="false">Schedules!H17</f>
        <v>0</v>
      </c>
      <c r="I13" s="51" t="n">
        <f aca="false">I12*Asumsi!I20</f>
        <v>0</v>
      </c>
      <c r="J13" s="51" t="n">
        <f aca="false">J12*Asumsi!J20</f>
        <v>0</v>
      </c>
      <c r="K13" s="51" t="n">
        <f aca="false">K12*Asumsi!K20</f>
        <v>0</v>
      </c>
      <c r="L13" s="51" t="n">
        <f aca="false">L12*Asumsi!L20</f>
        <v>0</v>
      </c>
      <c r="M13" s="51" t="n">
        <f aca="false">M12*Asumsi!M20</f>
        <v>0</v>
      </c>
    </row>
    <row r="14" customFormat="false" ht="15" hidden="false" customHeight="false" outlineLevel="0" collapsed="false">
      <c r="A14" s="54" t="s">
        <v>493</v>
      </c>
      <c r="B14" s="13" t="s">
        <v>494</v>
      </c>
      <c r="C14" s="61"/>
      <c r="D14" s="61"/>
      <c r="E14" s="61"/>
      <c r="F14" s="61"/>
      <c r="G14" s="61"/>
      <c r="H14" s="61"/>
      <c r="I14" s="63" t="n">
        <f aca="false">I13</f>
        <v>0</v>
      </c>
      <c r="J14" s="63" t="n">
        <f aca="false">J13</f>
        <v>0</v>
      </c>
      <c r="K14" s="63" t="n">
        <f aca="false">K13</f>
        <v>0</v>
      </c>
      <c r="L14" s="63" t="n">
        <f aca="false">L13</f>
        <v>0</v>
      </c>
      <c r="M14" s="63" t="n">
        <f aca="false">M13</f>
        <v>0</v>
      </c>
    </row>
    <row r="15" customFormat="false" ht="15" hidden="false" customHeight="false" outlineLevel="0" collapsed="false">
      <c r="A15" s="64" t="s">
        <v>495</v>
      </c>
      <c r="B15" s="65" t="s">
        <v>496</v>
      </c>
      <c r="C15" s="66" t="n">
        <f aca="false">BS!C17</f>
        <v>7024470936</v>
      </c>
      <c r="D15" s="66" t="n">
        <f aca="false">BS!D17</f>
        <v>6971681464</v>
      </c>
      <c r="E15" s="66" t="n">
        <f aca="false">BS!E17</f>
        <v>6971681464</v>
      </c>
      <c r="F15" s="66" t="n">
        <f aca="false">BS!F17</f>
        <v>6971681464</v>
      </c>
      <c r="G15" s="66" t="n">
        <f aca="false">BS!G17</f>
        <v>0</v>
      </c>
      <c r="H15" s="66" t="n">
        <f aca="false">BS!H17</f>
        <v>0</v>
      </c>
      <c r="I15" s="67" t="n">
        <f aca="false">I12+I14-I13</f>
        <v>0</v>
      </c>
      <c r="J15" s="67" t="n">
        <f aca="false">J12+J14-J13</f>
        <v>0</v>
      </c>
      <c r="K15" s="67" t="n">
        <f aca="false">K12+K14-K13</f>
        <v>0</v>
      </c>
      <c r="L15" s="67" t="n">
        <f aca="false">L12+L14-L13</f>
        <v>0</v>
      </c>
      <c r="M15" s="67" t="n">
        <f aca="false">M12+M14-M13</f>
        <v>0</v>
      </c>
    </row>
    <row r="16" customFormat="false" ht="15" hidden="false" customHeight="false" outlineLevel="0" collapsed="false">
      <c r="A16" s="16"/>
      <c r="B16" s="17" t="s">
        <v>497</v>
      </c>
      <c r="C16" s="16"/>
      <c r="D16" s="16"/>
      <c r="E16" s="16"/>
      <c r="F16" s="16"/>
      <c r="G16" s="16"/>
      <c r="H16" s="16"/>
      <c r="I16" s="16"/>
      <c r="J16" s="16"/>
      <c r="K16" s="16"/>
      <c r="L16" s="16"/>
      <c r="M16" s="16"/>
      <c r="N16" s="16"/>
    </row>
    <row r="17" customFormat="false" ht="15" hidden="false" customHeight="false" outlineLevel="0" collapsed="false">
      <c r="A17" s="54" t="s">
        <v>498</v>
      </c>
      <c r="B17" s="13" t="s">
        <v>499</v>
      </c>
      <c r="C17" s="61"/>
      <c r="D17" s="61"/>
      <c r="E17" s="61"/>
      <c r="F17" s="61"/>
      <c r="G17" s="61"/>
      <c r="H17" s="61"/>
      <c r="I17" s="51" t="n">
        <f aca="false">BS_Proj!H19</f>
        <v>0</v>
      </c>
      <c r="J17" s="51" t="n">
        <f aca="false">BS_Proj!I19</f>
        <v>0</v>
      </c>
      <c r="K17" s="51" t="n">
        <f aca="false">BS_Proj!J19</f>
        <v>0</v>
      </c>
      <c r="L17" s="51" t="n">
        <f aca="false">BS_Proj!K19</f>
        <v>0</v>
      </c>
      <c r="M17" s="51" t="n">
        <f aca="false">BS_Proj!L19</f>
        <v>0</v>
      </c>
    </row>
    <row r="18" customFormat="false" ht="15" hidden="false" customHeight="false" outlineLevel="0" collapsed="false">
      <c r="A18" s="64" t="s">
        <v>500</v>
      </c>
      <c r="B18" s="65" t="s">
        <v>501</v>
      </c>
      <c r="C18" s="67" t="n">
        <f aca="false">0</f>
        <v>0</v>
      </c>
      <c r="D18" s="67" t="n">
        <f aca="false">0</f>
        <v>0</v>
      </c>
      <c r="E18" s="67" t="n">
        <f aca="false">0</f>
        <v>0</v>
      </c>
      <c r="F18" s="67" t="n">
        <f aca="false">0</f>
        <v>0</v>
      </c>
      <c r="G18" s="67" t="n">
        <f aca="false">0</f>
        <v>0</v>
      </c>
      <c r="H18" s="67" t="n">
        <f aca="false">0</f>
        <v>0</v>
      </c>
      <c r="I18" s="67" t="n">
        <f aca="false">I17</f>
        <v>0</v>
      </c>
      <c r="J18" s="67" t="n">
        <f aca="false">J17</f>
        <v>0</v>
      </c>
      <c r="K18" s="67" t="n">
        <f aca="false">K17</f>
        <v>0</v>
      </c>
      <c r="L18" s="67" t="n">
        <f aca="false">L17</f>
        <v>0</v>
      </c>
      <c r="M18" s="67" t="n">
        <f aca="false">M17</f>
        <v>0</v>
      </c>
      <c r="N18" s="15" t="s">
        <v>502</v>
      </c>
    </row>
    <row r="19" customFormat="false" ht="15" hidden="false" customHeight="false" outlineLevel="0" collapsed="false">
      <c r="A19" s="54" t="s">
        <v>503</v>
      </c>
      <c r="B19" s="13" t="s">
        <v>504</v>
      </c>
      <c r="C19" s="61"/>
      <c r="D19" s="73" t="n">
        <f aca="false">AVERAGE(0,D18)</f>
        <v>0</v>
      </c>
      <c r="E19" s="73" t="n">
        <f aca="false">AVERAGE(0,E18)</f>
        <v>0</v>
      </c>
      <c r="F19" s="73" t="n">
        <f aca="false">AVERAGE(0,F18)</f>
        <v>0</v>
      </c>
      <c r="G19" s="73" t="n">
        <f aca="false">AVERAGE(0,G18)</f>
        <v>0</v>
      </c>
      <c r="H19" s="73" t="n">
        <f aca="false">AVERAGE(0,H18)</f>
        <v>0</v>
      </c>
      <c r="I19" s="63" t="n">
        <f aca="false">AVERAGE(I17,I18)</f>
        <v>0</v>
      </c>
      <c r="J19" s="63" t="n">
        <f aca="false">AVERAGE(J17,J18)</f>
        <v>0</v>
      </c>
      <c r="K19" s="63" t="n">
        <f aca="false">AVERAGE(K17,K18)</f>
        <v>0</v>
      </c>
      <c r="L19" s="63" t="n">
        <f aca="false">AVERAGE(L17,L18)</f>
        <v>0</v>
      </c>
      <c r="M19" s="63" t="n">
        <f aca="false">AVERAGE(M17,M18)</f>
        <v>0</v>
      </c>
    </row>
    <row r="20" customFormat="false" ht="15" hidden="false" customHeight="false" outlineLevel="0" collapsed="false">
      <c r="A20" s="16"/>
      <c r="B20" s="17" t="s">
        <v>505</v>
      </c>
      <c r="C20" s="16"/>
      <c r="D20" s="16"/>
      <c r="E20" s="16"/>
      <c r="F20" s="16"/>
      <c r="G20" s="16"/>
      <c r="H20" s="16"/>
      <c r="I20" s="16"/>
      <c r="J20" s="16"/>
      <c r="K20" s="16"/>
      <c r="L20" s="16"/>
      <c r="M20" s="16"/>
      <c r="N20" s="16"/>
    </row>
    <row r="21" customFormat="false" ht="15" hidden="false" customHeight="false" outlineLevel="0" collapsed="false">
      <c r="A21" s="54" t="s">
        <v>506</v>
      </c>
      <c r="B21" s="13" t="s">
        <v>507</v>
      </c>
      <c r="C21" s="61"/>
      <c r="D21" s="61"/>
      <c r="E21" s="61"/>
      <c r="F21" s="61"/>
      <c r="G21" s="61"/>
      <c r="H21" s="61"/>
      <c r="I21" s="51" t="n">
        <f aca="false">BS_Proj!H18</f>
        <v>1083635029572</v>
      </c>
      <c r="J21" s="51" t="n">
        <f aca="false">BS_Proj!I18</f>
        <v>1083635029572</v>
      </c>
      <c r="K21" s="51" t="n">
        <f aca="false">BS_Proj!J18</f>
        <v>1083635029572</v>
      </c>
      <c r="L21" s="51" t="n">
        <f aca="false">BS_Proj!K18</f>
        <v>1083635029572</v>
      </c>
      <c r="M21" s="51" t="n">
        <f aca="false">BS_Proj!L18</f>
        <v>1083635029572</v>
      </c>
    </row>
    <row r="22" customFormat="false" ht="15" hidden="false" customHeight="false" outlineLevel="0" collapsed="false">
      <c r="A22" s="54" t="s">
        <v>508</v>
      </c>
      <c r="B22" s="13" t="s">
        <v>509</v>
      </c>
      <c r="C22" s="61"/>
      <c r="D22" s="61"/>
      <c r="E22" s="61"/>
      <c r="F22" s="61"/>
      <c r="G22" s="61"/>
      <c r="H22" s="61"/>
      <c r="I22" s="51" t="n">
        <f aca="false">Asumsi!I29</f>
        <v>0</v>
      </c>
      <c r="J22" s="51" t="n">
        <f aca="false">Asumsi!J29</f>
        <v>0</v>
      </c>
      <c r="K22" s="51" t="n">
        <f aca="false">Asumsi!K29</f>
        <v>0</v>
      </c>
      <c r="L22" s="51" t="n">
        <f aca="false">Asumsi!L29</f>
        <v>0</v>
      </c>
      <c r="M22" s="51" t="n">
        <f aca="false">Asumsi!M29</f>
        <v>0</v>
      </c>
    </row>
    <row r="23" customFormat="false" ht="15" hidden="false" customHeight="false" outlineLevel="0" collapsed="false">
      <c r="A23" s="64" t="s">
        <v>510</v>
      </c>
      <c r="B23" s="65" t="s">
        <v>511</v>
      </c>
      <c r="C23" s="66" t="n">
        <f aca="false">(BS!C23+BS!C30+BS!C34+BS!C31+BS!C35+BS!C32+BS!C36)</f>
        <v>116162740870</v>
      </c>
      <c r="D23" s="66" t="n">
        <f aca="false">(BS!D23+BS!D30+BS!D34+BS!D31+BS!D35+BS!D32+BS!D36)</f>
        <v>844063816090</v>
      </c>
      <c r="E23" s="66" t="n">
        <f aca="false">(BS!E23+BS!E30+BS!E34+BS!E31+BS!E35+BS!E32+BS!E36)</f>
        <v>957037296647</v>
      </c>
      <c r="F23" s="66" t="n">
        <f aca="false">(BS!F23+BS!F30+BS!F34+BS!F31+BS!F35+BS!F32+BS!F36)</f>
        <v>954514193129</v>
      </c>
      <c r="G23" s="66" t="n">
        <f aca="false">(BS!G23+BS!G30+BS!G34+BS!G31+BS!G35+BS!G32+BS!G36)</f>
        <v>944466599212</v>
      </c>
      <c r="H23" s="66" t="n">
        <f aca="false">(BS!H23+BS!H30+BS!H34+BS!H31+BS!H35+BS!H32+BS!H36)</f>
        <v>1083635029572</v>
      </c>
      <c r="I23" s="67" t="n">
        <f aca="false">I21+I22</f>
        <v>1083635029572</v>
      </c>
      <c r="J23" s="67" t="n">
        <f aca="false">J21+J22</f>
        <v>1083635029572</v>
      </c>
      <c r="K23" s="67" t="n">
        <f aca="false">K21+K22</f>
        <v>1083635029572</v>
      </c>
      <c r="L23" s="67" t="n">
        <f aca="false">L21+L22</f>
        <v>1083635029572</v>
      </c>
      <c r="M23" s="67" t="n">
        <f aca="false">M21+M22</f>
        <v>1083635029572</v>
      </c>
    </row>
    <row r="24" customFormat="false" ht="15" hidden="false" customHeight="false" outlineLevel="0" collapsed="false">
      <c r="A24" s="54" t="s">
        <v>512</v>
      </c>
      <c r="B24" s="13" t="s">
        <v>513</v>
      </c>
      <c r="C24" s="61"/>
      <c r="D24" s="50" t="n">
        <f aca="false">AVERAGE((BS!C23+BS!C30+BS!C34+BS!C31+BS!C35+BS!C32+BS!C36),D23)</f>
        <v>480113278480</v>
      </c>
      <c r="E24" s="50" t="n">
        <f aca="false">AVERAGE((BS!D23+BS!D30+BS!D34+BS!D31+BS!D35+BS!D32+BS!D36),E23)</f>
        <v>900550556368.5</v>
      </c>
      <c r="F24" s="50" t="n">
        <f aca="false">AVERAGE((BS!E23+BS!E30+BS!E34+BS!E31+BS!E35+BS!E32+BS!E36),F23)</f>
        <v>955775744888</v>
      </c>
      <c r="G24" s="50" t="n">
        <f aca="false">AVERAGE((BS!F23+BS!F30+BS!F34+BS!F31+BS!F35+BS!F32+BS!F36),G23)</f>
        <v>949490396170.5</v>
      </c>
      <c r="H24" s="50" t="n">
        <f aca="false">AVERAGE((BS!G23+BS!G30+BS!G34+BS!G31+BS!G35+BS!G32+BS!G36),H23)</f>
        <v>1014050814392</v>
      </c>
      <c r="I24" s="63" t="n">
        <f aca="false">AVERAGE(I21,I23)</f>
        <v>1083635029572</v>
      </c>
      <c r="J24" s="63" t="n">
        <f aca="false">AVERAGE(J21,J23)</f>
        <v>1083635029572</v>
      </c>
      <c r="K24" s="63" t="n">
        <f aca="false">AVERAGE(K21,K23)</f>
        <v>1083635029572</v>
      </c>
      <c r="L24" s="63" t="n">
        <f aca="false">AVERAGE(L21,L23)</f>
        <v>1083635029572</v>
      </c>
      <c r="M24" s="63" t="n">
        <f aca="false">AVERAGE(M21,M23)</f>
        <v>1083635029572</v>
      </c>
    </row>
    <row r="25" customFormat="false" ht="15" hidden="false" customHeight="false" outlineLevel="0" collapsed="false">
      <c r="A25" s="16"/>
      <c r="B25" s="17" t="s">
        <v>514</v>
      </c>
      <c r="C25" s="16"/>
      <c r="D25" s="16"/>
      <c r="E25" s="16"/>
      <c r="F25" s="16"/>
      <c r="G25" s="16"/>
      <c r="H25" s="16"/>
      <c r="I25" s="16"/>
      <c r="J25" s="16"/>
      <c r="K25" s="16"/>
      <c r="L25" s="16"/>
      <c r="M25" s="16"/>
      <c r="N25" s="16"/>
    </row>
    <row r="26" customFormat="false" ht="15" hidden="false" customHeight="false" outlineLevel="0" collapsed="false">
      <c r="A26" s="54" t="s">
        <v>515</v>
      </c>
      <c r="B26" s="13" t="s">
        <v>516</v>
      </c>
      <c r="C26" s="50" t="n">
        <f aca="false">BS!C8</f>
        <v>46315632063</v>
      </c>
      <c r="D26" s="50" t="n">
        <f aca="false">BS!D8</f>
        <v>43418562083</v>
      </c>
      <c r="E26" s="50" t="n">
        <f aca="false">BS!E8</f>
        <v>19493922195</v>
      </c>
      <c r="F26" s="50" t="n">
        <f aca="false">BS!F8</f>
        <v>29762970115</v>
      </c>
      <c r="G26" s="50" t="n">
        <f aca="false">BS!G8</f>
        <v>39287099946</v>
      </c>
      <c r="H26" s="50" t="n">
        <f aca="false">BS!H8</f>
        <v>32414715751</v>
      </c>
      <c r="I26" s="51" t="n">
        <f aca="false">IS_Proj!I9*Asumsi!I22/365</f>
        <v>42310823128.7682</v>
      </c>
      <c r="J26" s="51" t="n">
        <f aca="false">IS_Proj!J9*Asumsi!J22/365</f>
        <v>47778865210.9434</v>
      </c>
      <c r="K26" s="51" t="n">
        <f aca="false">IS_Proj!K9*Asumsi!K22/365</f>
        <v>53961683838.9881</v>
      </c>
      <c r="L26" s="51" t="n">
        <f aca="false">IS_Proj!L9*Asumsi!L22/365</f>
        <v>60953843922.8079</v>
      </c>
      <c r="M26" s="51" t="n">
        <f aca="false">IS_Proj!M9*Asumsi!M22/365</f>
        <v>68862576920.1572</v>
      </c>
    </row>
    <row r="27" customFormat="false" ht="15" hidden="false" customHeight="false" outlineLevel="0" collapsed="false">
      <c r="A27" s="54" t="s">
        <v>517</v>
      </c>
      <c r="B27" s="13" t="s">
        <v>518</v>
      </c>
      <c r="C27" s="50" t="n">
        <f aca="false">BS!C10</f>
        <v>6868279382</v>
      </c>
      <c r="D27" s="50" t="n">
        <f aca="false">BS!D10</f>
        <v>6128999612</v>
      </c>
      <c r="E27" s="50" t="n">
        <f aca="false">BS!E10</f>
        <v>3810165323</v>
      </c>
      <c r="F27" s="50" t="n">
        <f aca="false">BS!F10</f>
        <v>4778420963</v>
      </c>
      <c r="G27" s="50" t="n">
        <f aca="false">BS!G10</f>
        <v>6268091785</v>
      </c>
      <c r="H27" s="50" t="n">
        <f aca="false">BS!H10</f>
        <v>5344682837</v>
      </c>
      <c r="I27" s="51" t="n">
        <f aca="false">-IS_Proj!I12*Asumsi!I23/365</f>
        <v>6632221525.43442</v>
      </c>
      <c r="J27" s="51" t="n">
        <f aca="false">-IS_Proj!J12*Asumsi!J23/365</f>
        <v>7489337121.81538</v>
      </c>
      <c r="K27" s="51" t="n">
        <f aca="false">-IS_Proj!K12*Asumsi!K23/365</f>
        <v>8458493941.76138</v>
      </c>
      <c r="L27" s="51" t="n">
        <f aca="false">-IS_Proj!L12*Asumsi!L23/365</f>
        <v>9554515034.90013</v>
      </c>
      <c r="M27" s="51" t="n">
        <f aca="false">-IS_Proj!M12*Asumsi!M23/365</f>
        <v>10794208932.2346</v>
      </c>
    </row>
    <row r="28" customFormat="false" ht="15" hidden="false" customHeight="false" outlineLevel="0" collapsed="false">
      <c r="A28" s="54" t="s">
        <v>519</v>
      </c>
      <c r="B28" s="13" t="s">
        <v>520</v>
      </c>
      <c r="C28" s="50" t="n">
        <f aca="false">BS!C24</f>
        <v>10821912088</v>
      </c>
      <c r="D28" s="50" t="n">
        <f aca="false">BS!D24</f>
        <v>14656750351</v>
      </c>
      <c r="E28" s="50" t="n">
        <f aca="false">BS!E24</f>
        <v>26875586517</v>
      </c>
      <c r="F28" s="50" t="n">
        <f aca="false">BS!F24</f>
        <v>42532889111</v>
      </c>
      <c r="G28" s="50" t="n">
        <f aca="false">BS!G24</f>
        <v>25121215698</v>
      </c>
      <c r="H28" s="50" t="n">
        <f aca="false">BS!H24</f>
        <v>21151058333</v>
      </c>
      <c r="I28" s="51" t="n">
        <f aca="false">-IS_Proj!I12*Asumsi!I24/365</f>
        <v>27131815331.3226</v>
      </c>
      <c r="J28" s="51" t="n">
        <f aca="false">-IS_Proj!J12*Asumsi!J24/365</f>
        <v>30638197316.5175</v>
      </c>
      <c r="K28" s="51" t="n">
        <f aca="false">-IS_Proj!K12*Asumsi!K24/365</f>
        <v>34602929761.7511</v>
      </c>
      <c r="L28" s="51" t="n">
        <f aca="false">-IS_Proj!L12*Asumsi!L24/365</f>
        <v>39086652415.5005</v>
      </c>
      <c r="M28" s="51" t="n">
        <f aca="false">-IS_Proj!M12*Asumsi!M24/365</f>
        <v>44158127450.0508</v>
      </c>
    </row>
    <row r="29" customFormat="false" ht="15" hidden="false" customHeight="false" outlineLevel="0" collapsed="false">
      <c r="A29" s="64" t="s">
        <v>521</v>
      </c>
      <c r="B29" s="65" t="s">
        <v>522</v>
      </c>
      <c r="C29" s="67" t="n">
        <f aca="false">C26+C27-C28</f>
        <v>42361999357</v>
      </c>
      <c r="D29" s="67" t="n">
        <f aca="false">D26+D27-D28</f>
        <v>34890811344</v>
      </c>
      <c r="E29" s="67" t="n">
        <f aca="false">E26+E27-E28</f>
        <v>-3571498999</v>
      </c>
      <c r="F29" s="67" t="n">
        <f aca="false">F26+F27-F28</f>
        <v>-7991498033</v>
      </c>
      <c r="G29" s="67" t="n">
        <f aca="false">G26+G27-G28</f>
        <v>20433976033</v>
      </c>
      <c r="H29" s="67" t="n">
        <f aca="false">H26+H27-H28</f>
        <v>16608340255</v>
      </c>
      <c r="I29" s="67" t="n">
        <f aca="false">I26+I27-I28</f>
        <v>21811229322.88</v>
      </c>
      <c r="J29" s="67" t="n">
        <f aca="false">J26+J27-J28</f>
        <v>24630005016.2413</v>
      </c>
      <c r="K29" s="67" t="n">
        <f aca="false">K26+K27-K28</f>
        <v>27817248018.9984</v>
      </c>
      <c r="L29" s="67" t="n">
        <f aca="false">L26+L27-L28</f>
        <v>31421706542.2075</v>
      </c>
      <c r="M29" s="67" t="n">
        <f aca="false">M26+M27-M28</f>
        <v>35498658402.341</v>
      </c>
    </row>
    <row r="30" customFormat="false" ht="15" hidden="false" customHeight="false" outlineLevel="0" collapsed="false">
      <c r="A30" s="54" t="s">
        <v>523</v>
      </c>
      <c r="B30" s="13" t="s">
        <v>524</v>
      </c>
      <c r="C30" s="61"/>
      <c r="D30" s="73" t="n">
        <f aca="false">C29-D29</f>
        <v>7471188013</v>
      </c>
      <c r="E30" s="73" t="n">
        <f aca="false">D29-E29</f>
        <v>38462310343</v>
      </c>
      <c r="F30" s="73" t="n">
        <f aca="false">E29-F29</f>
        <v>4419999034</v>
      </c>
      <c r="G30" s="73" t="n">
        <f aca="false">F29-G29</f>
        <v>-28425474066</v>
      </c>
      <c r="H30" s="73" t="n">
        <f aca="false">G29-H29</f>
        <v>3825635778</v>
      </c>
      <c r="I30" s="63" t="n">
        <f aca="false">H29-I29</f>
        <v>-5202889067.88002</v>
      </c>
      <c r="J30" s="63" t="n">
        <f aca="false">I29-J29</f>
        <v>-2818775693.36133</v>
      </c>
      <c r="K30" s="63" t="n">
        <f aca="false">J29-K29</f>
        <v>-3187243002.75703</v>
      </c>
      <c r="L30" s="63" t="n">
        <f aca="false">K29-L29</f>
        <v>-3604458523.20909</v>
      </c>
      <c r="M30" s="63" t="n">
        <f aca="false">L29-M29</f>
        <v>-4076951860.13358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13" min="3" style="0" width="16"/>
    <col collapsed="false" customWidth="true" hidden="false" outlineLevel="0" max="14" min="14" style="0" width="40"/>
  </cols>
  <sheetData>
    <row r="1" customFormat="false" ht="17.35" hidden="false" customHeight="false" outlineLevel="0" collapsed="false">
      <c r="A1" s="14" t="s">
        <v>525</v>
      </c>
    </row>
    <row r="2" customFormat="false" ht="15" hidden="false" customHeight="false" outlineLevel="0" collapsed="false">
      <c r="A2" s="15" t="s">
        <v>526</v>
      </c>
    </row>
    <row r="4" customFormat="false" ht="15" hidden="false" customHeight="false" outlineLevel="0" collapsed="false">
      <c r="A4" s="16"/>
      <c r="B4" s="17" t="s">
        <v>527</v>
      </c>
      <c r="C4" s="16"/>
      <c r="D4" s="16"/>
      <c r="E4" s="16"/>
      <c r="F4" s="16"/>
      <c r="G4" s="16"/>
      <c r="H4" s="16"/>
      <c r="I4" s="16"/>
      <c r="J4" s="16"/>
      <c r="K4" s="16"/>
      <c r="L4" s="16"/>
      <c r="M4" s="16"/>
      <c r="N4" s="16"/>
    </row>
    <row r="5" customFormat="false" ht="15" hidden="false" customHeight="false" outlineLevel="0" collapsed="false">
      <c r="B5" s="13" t="s">
        <v>528</v>
      </c>
      <c r="C5" s="75"/>
      <c r="D5" s="15" t="s">
        <v>529</v>
      </c>
    </row>
    <row r="6" customFormat="false" ht="15" hidden="false" customHeight="false" outlineLevel="0" collapsed="false">
      <c r="B6" s="13" t="s">
        <v>530</v>
      </c>
      <c r="C6" s="75"/>
      <c r="D6" s="15" t="s">
        <v>531</v>
      </c>
    </row>
    <row r="7" customFormat="false" ht="15" hidden="false" customHeight="false" outlineLevel="0" collapsed="false">
      <c r="B7" s="13" t="s">
        <v>532</v>
      </c>
      <c r="C7" s="76"/>
      <c r="D7" s="15" t="s">
        <v>533</v>
      </c>
    </row>
    <row r="8" customFormat="false" ht="15" hidden="false" customHeight="false" outlineLevel="0" collapsed="false">
      <c r="B8" s="13" t="s">
        <v>534</v>
      </c>
      <c r="C8" s="75"/>
      <c r="D8" s="15" t="s">
        <v>535</v>
      </c>
    </row>
    <row r="9" customFormat="false" ht="15" hidden="false" customHeight="false" outlineLevel="0" collapsed="false">
      <c r="B9" s="13" t="s">
        <v>536</v>
      </c>
      <c r="C9" s="75"/>
      <c r="D9" s="15" t="s">
        <v>537</v>
      </c>
    </row>
    <row r="10" customFormat="false" ht="15" hidden="false" customHeight="false" outlineLevel="0" collapsed="false">
      <c r="B10" s="13" t="s">
        <v>538</v>
      </c>
      <c r="C10" s="75"/>
      <c r="D10" s="15" t="s">
        <v>539</v>
      </c>
    </row>
    <row r="11" customFormat="false" ht="15" hidden="false" customHeight="false" outlineLevel="0" collapsed="false">
      <c r="B11" s="13" t="s">
        <v>540</v>
      </c>
      <c r="C11" s="75"/>
      <c r="D11" s="15" t="s">
        <v>537</v>
      </c>
    </row>
    <row r="12" customFormat="false" ht="15" hidden="false" customHeight="false" outlineLevel="0" collapsed="false">
      <c r="B12" s="13" t="s">
        <v>541</v>
      </c>
      <c r="C12" s="75"/>
      <c r="D12" s="15" t="s">
        <v>537</v>
      </c>
    </row>
    <row r="13" customFormat="false" ht="15" hidden="false" customHeight="false" outlineLevel="0" collapsed="false">
      <c r="B13" s="13" t="s">
        <v>542</v>
      </c>
      <c r="C13" s="77"/>
      <c r="D13" s="15" t="s">
        <v>543</v>
      </c>
    </row>
    <row r="14" customFormat="false" ht="15" hidden="false" customHeight="false" outlineLevel="0" collapsed="false">
      <c r="B14" s="13" t="s">
        <v>544</v>
      </c>
      <c r="C14" s="78"/>
      <c r="D14" s="15" t="s">
        <v>535</v>
      </c>
    </row>
    <row r="15" customFormat="false" ht="15" hidden="false" customHeight="false" outlineLevel="0" collapsed="false">
      <c r="B15" s="13" t="s">
        <v>545</v>
      </c>
      <c r="C15" s="79" t="b">
        <f aca="false">COUNT($C$5,$C$6,$C$7,$C$9,$C$10,$C$11)=6</f>
        <v>0</v>
      </c>
    </row>
    <row r="16" customFormat="false" ht="15" hidden="false" customHeight="false" outlineLevel="0" collapsed="false">
      <c r="B16" s="13" t="s">
        <v>546</v>
      </c>
      <c r="C16" s="79" t="b">
        <f aca="false">AND($C$15,COUNT($C$12)=1)</f>
        <v>0</v>
      </c>
    </row>
    <row r="17" customFormat="false" ht="15" hidden="false" customHeight="false" outlineLevel="0" collapsed="false">
      <c r="B17" s="13" t="s">
        <v>547</v>
      </c>
      <c r="C17" s="79" t="b">
        <f aca="false">AND($C$15,COUNT($C$13)=1)</f>
        <v>0</v>
      </c>
    </row>
    <row r="19" customFormat="false" ht="15" hidden="false" customHeight="false" outlineLevel="0" collapsed="false">
      <c r="A19" s="16"/>
      <c r="B19" s="17" t="s">
        <v>548</v>
      </c>
      <c r="C19" s="16"/>
      <c r="D19" s="16"/>
      <c r="E19" s="16"/>
      <c r="F19" s="16"/>
      <c r="G19" s="16"/>
      <c r="H19" s="16"/>
      <c r="I19" s="16"/>
      <c r="J19" s="16"/>
      <c r="K19" s="16"/>
      <c r="L19" s="16"/>
      <c r="M19" s="16"/>
      <c r="N19" s="16"/>
    </row>
    <row r="20" customFormat="false" ht="15" hidden="false" customHeight="false" outlineLevel="0" collapsed="false">
      <c r="B20" s="13" t="s">
        <v>549</v>
      </c>
      <c r="C20" s="68" t="str">
        <f aca="false">IF($C$15,$C$5+$C$7*$C$6+N($C$8),"")</f>
        <v/>
      </c>
    </row>
    <row r="21" customFormat="false" ht="15" hidden="false" customHeight="false" outlineLevel="0" collapsed="false">
      <c r="B21" s="13" t="s">
        <v>550</v>
      </c>
      <c r="C21" s="68" t="str">
        <f aca="false">IF($C$15,$C$9*(1-$C$10),"")</f>
        <v/>
      </c>
    </row>
    <row r="22" customFormat="false" ht="15" hidden="false" customHeight="false" outlineLevel="0" collapsed="false">
      <c r="B22" s="13" t="s">
        <v>548</v>
      </c>
      <c r="C22" s="68" t="str">
        <f aca="false">IF($C$15,$C$20*(1-$C$11)+$C$21*$C$11,"")</f>
        <v/>
      </c>
    </row>
    <row r="24" customFormat="false" ht="15" hidden="false" customHeight="false" outlineLevel="0" collapsed="false">
      <c r="A24" s="16"/>
      <c r="B24" s="17" t="s">
        <v>551</v>
      </c>
      <c r="C24" s="16"/>
      <c r="D24" s="16"/>
      <c r="E24" s="16"/>
      <c r="F24" s="16"/>
      <c r="G24" s="16"/>
      <c r="H24" s="16"/>
      <c r="I24" s="16"/>
      <c r="J24" s="16"/>
      <c r="K24" s="16"/>
      <c r="L24" s="16"/>
      <c r="M24" s="16"/>
      <c r="N24" s="16"/>
    </row>
    <row r="25" customFormat="false" ht="15" hidden="false" customHeight="false" outlineLevel="0" collapsed="false">
      <c r="I25" s="43" t="s">
        <v>171</v>
      </c>
      <c r="J25" s="43" t="s">
        <v>172</v>
      </c>
      <c r="K25" s="43" t="s">
        <v>173</v>
      </c>
      <c r="L25" s="43" t="s">
        <v>174</v>
      </c>
      <c r="M25" s="43" t="s">
        <v>175</v>
      </c>
    </row>
    <row r="26" customFormat="false" ht="15" hidden="false" customHeight="false" outlineLevel="0" collapsed="false">
      <c r="B26" s="13" t="s">
        <v>552</v>
      </c>
      <c r="I26" s="80" t="n">
        <v>1</v>
      </c>
      <c r="J26" s="80" t="n">
        <v>2</v>
      </c>
      <c r="K26" s="80" t="n">
        <v>3</v>
      </c>
      <c r="L26" s="80" t="n">
        <v>4</v>
      </c>
      <c r="M26" s="80" t="n">
        <v>5</v>
      </c>
    </row>
    <row r="27" customFormat="false" ht="15" hidden="false" customHeight="false" outlineLevel="0" collapsed="false">
      <c r="B27" s="13" t="s">
        <v>553</v>
      </c>
      <c r="I27" s="50" t="n">
        <f aca="false">IS_Proj!I17</f>
        <v>-4912869563.91828</v>
      </c>
      <c r="J27" s="50" t="n">
        <f aca="false">IS_Proj!J17</f>
        <v>-2467431279.10593</v>
      </c>
      <c r="K27" s="50" t="n">
        <f aca="false">IS_Proj!K17</f>
        <v>274950675.20377</v>
      </c>
      <c r="L27" s="50" t="n">
        <f aca="false">IS_Proj!L17</f>
        <v>3353776197.4132</v>
      </c>
      <c r="M27" s="50" t="n">
        <f aca="false">IS_Proj!M17</f>
        <v>6813840434.26633</v>
      </c>
    </row>
    <row r="28" customFormat="false" ht="15" hidden="false" customHeight="false" outlineLevel="0" collapsed="false">
      <c r="B28" s="13" t="s">
        <v>554</v>
      </c>
      <c r="I28" s="50" t="n">
        <f aca="false">-MAX(I27,0)*Asumsi!I26</f>
        <v>-0</v>
      </c>
      <c r="J28" s="50" t="n">
        <f aca="false">-MAX(J27,0)*Asumsi!J26</f>
        <v>-0</v>
      </c>
      <c r="K28" s="50" t="n">
        <f aca="false">-MAX(K27,0)*Asumsi!K26</f>
        <v>-60489148.5448293</v>
      </c>
      <c r="L28" s="50" t="n">
        <f aca="false">-MAX(L27,0)*Asumsi!L26</f>
        <v>-737830763.430903</v>
      </c>
      <c r="M28" s="50" t="n">
        <f aca="false">-MAX(M27,0)*Asumsi!M26</f>
        <v>-1499044895.53859</v>
      </c>
    </row>
    <row r="29" customFormat="false" ht="15" hidden="false" customHeight="false" outlineLevel="0" collapsed="false">
      <c r="B29" s="13" t="s">
        <v>555</v>
      </c>
      <c r="I29" s="73" t="n">
        <f aca="false">I27+I28</f>
        <v>-4912869563.91828</v>
      </c>
      <c r="J29" s="73" t="n">
        <f aca="false">J27+J28</f>
        <v>-2467431279.10593</v>
      </c>
      <c r="K29" s="73" t="n">
        <f aca="false">K27+K28</f>
        <v>214461526.65894</v>
      </c>
      <c r="L29" s="73" t="n">
        <f aca="false">L27+L28</f>
        <v>2615945433.98229</v>
      </c>
      <c r="M29" s="73" t="n">
        <f aca="false">M27+M28</f>
        <v>5314795538.72774</v>
      </c>
    </row>
    <row r="30" customFormat="false" ht="15" hidden="false" customHeight="false" outlineLevel="0" collapsed="false">
      <c r="B30" s="13" t="s">
        <v>556</v>
      </c>
      <c r="I30" s="50" t="n">
        <f aca="false">-IS_Proj!I16</f>
        <v>24217182616.4188</v>
      </c>
      <c r="J30" s="50" t="n">
        <f aca="false">-IS_Proj!J16</f>
        <v>24266538531.5989</v>
      </c>
      <c r="K30" s="50" t="n">
        <f aca="false">-IS_Proj!K16</f>
        <v>24345067576.3346</v>
      </c>
      <c r="L30" s="50" t="n">
        <f aca="false">-IS_Proj!L16</f>
        <v>24456415092.3679</v>
      </c>
      <c r="M30" s="50" t="n">
        <f aca="false">-IS_Proj!M16</f>
        <v>24604710285.5554</v>
      </c>
    </row>
    <row r="31" customFormat="false" ht="15" hidden="false" customHeight="false" outlineLevel="0" collapsed="false">
      <c r="B31" s="13" t="s">
        <v>557</v>
      </c>
      <c r="I31" s="50" t="n">
        <f aca="false">CF_Proj!I13</f>
        <v>-30886900884.0008</v>
      </c>
      <c r="J31" s="50" t="n">
        <f aca="false">CF_Proj!J13</f>
        <v>-34878571603.9887</v>
      </c>
      <c r="K31" s="50" t="n">
        <f aca="false">CF_Proj!K13</f>
        <v>-39392029202.4613</v>
      </c>
      <c r="L31" s="50" t="n">
        <f aca="false">CF_Proj!L13</f>
        <v>-44496306063.6498</v>
      </c>
      <c r="M31" s="50" t="n">
        <f aca="false">CF_Proj!M13</f>
        <v>-50269681151.7147</v>
      </c>
    </row>
    <row r="32" customFormat="false" ht="15" hidden="false" customHeight="false" outlineLevel="0" collapsed="false">
      <c r="B32" s="13" t="s">
        <v>558</v>
      </c>
      <c r="I32" s="50" t="n">
        <f aca="false">Schedules_Proj!I30</f>
        <v>-5202889067.88002</v>
      </c>
      <c r="J32" s="50" t="n">
        <f aca="false">Schedules_Proj!J30</f>
        <v>-2818775693.36133</v>
      </c>
      <c r="K32" s="50" t="n">
        <f aca="false">Schedules_Proj!K30</f>
        <v>-3187243002.75703</v>
      </c>
      <c r="L32" s="50" t="n">
        <f aca="false">Schedules_Proj!L30</f>
        <v>-3604458523.20909</v>
      </c>
      <c r="M32" s="50" t="n">
        <f aca="false">Schedules_Proj!M30</f>
        <v>-4076951860.13358</v>
      </c>
    </row>
    <row r="33" customFormat="false" ht="15" hidden="false" customHeight="false" outlineLevel="0" collapsed="false">
      <c r="B33" s="4" t="s">
        <v>559</v>
      </c>
      <c r="I33" s="81" t="n">
        <f aca="false">SUM(I29:I32)</f>
        <v>-16785476899.3803</v>
      </c>
      <c r="J33" s="81" t="n">
        <f aca="false">SUM(J29:J32)</f>
        <v>-15898240044.857</v>
      </c>
      <c r="K33" s="81" t="n">
        <f aca="false">SUM(K29:K32)</f>
        <v>-18019743102.2248</v>
      </c>
      <c r="L33" s="81" t="n">
        <f aca="false">SUM(L29:L32)</f>
        <v>-21028404060.5086</v>
      </c>
      <c r="M33" s="81" t="n">
        <f aca="false">SUM(M29:M32)</f>
        <v>-24427127187.5652</v>
      </c>
    </row>
    <row r="34" customFormat="false" ht="15" hidden="false" customHeight="false" outlineLevel="0" collapsed="false">
      <c r="B34" s="13" t="s">
        <v>560</v>
      </c>
      <c r="I34" s="82" t="str">
        <f aca="false">IF($C$15,1/(1+$C$22)^I26,"")</f>
        <v/>
      </c>
      <c r="J34" s="82" t="str">
        <f aca="false">IF($C$15,1/(1+$C$22)^J26,"")</f>
        <v/>
      </c>
      <c r="K34" s="82" t="str">
        <f aca="false">IF($C$15,1/(1+$C$22)^K26,"")</f>
        <v/>
      </c>
      <c r="L34" s="82" t="str">
        <f aca="false">IF($C$15,1/(1+$C$22)^L26,"")</f>
        <v/>
      </c>
      <c r="M34" s="82" t="str">
        <f aca="false">IF($C$15,1/(1+$C$22)^M26,"")</f>
        <v/>
      </c>
    </row>
    <row r="35" customFormat="false" ht="15" hidden="false" customHeight="false" outlineLevel="0" collapsed="false">
      <c r="B35" s="13" t="s">
        <v>561</v>
      </c>
      <c r="I35" s="73" t="str">
        <f aca="false">IF($C$15,I33*I34,"")</f>
        <v/>
      </c>
      <c r="J35" s="73" t="str">
        <f aca="false">IF($C$15,J33*J34,"")</f>
        <v/>
      </c>
      <c r="K35" s="73" t="str">
        <f aca="false">IF($C$15,K33*K34,"")</f>
        <v/>
      </c>
      <c r="L35" s="73" t="str">
        <f aca="false">IF($C$15,L33*L34,"")</f>
        <v/>
      </c>
      <c r="M35" s="73" t="str">
        <f aca="false">IF($C$15,M33*M34,"")</f>
        <v/>
      </c>
    </row>
    <row r="36" customFormat="false" ht="15" hidden="false" customHeight="false" outlineLevel="0" collapsed="false">
      <c r="B36" s="15" t="s">
        <v>562</v>
      </c>
    </row>
    <row r="38" customFormat="false" ht="15" hidden="false" customHeight="false" outlineLevel="0" collapsed="false">
      <c r="A38" s="16"/>
      <c r="B38" s="17" t="s">
        <v>563</v>
      </c>
      <c r="C38" s="83" t="s">
        <v>564</v>
      </c>
      <c r="D38" s="83" t="s">
        <v>565</v>
      </c>
      <c r="E38" s="16"/>
      <c r="F38" s="16"/>
      <c r="G38" s="16"/>
      <c r="H38" s="16"/>
      <c r="I38" s="16"/>
      <c r="J38" s="16"/>
      <c r="K38" s="16"/>
      <c r="L38" s="16"/>
      <c r="M38" s="16"/>
      <c r="N38" s="16"/>
    </row>
    <row r="39" customFormat="false" ht="15" hidden="false" customHeight="false" outlineLevel="0" collapsed="false">
      <c r="B39" s="13" t="s">
        <v>566</v>
      </c>
      <c r="C39" s="73" t="str">
        <f aca="false">IF($C$16,SUMPRODUCT($I$33:$M$33/(1+$C$22)^$I$26:$M$26),"")</f>
        <v/>
      </c>
      <c r="D39" s="73" t="str">
        <f aca="false">IF($C$17,SUMPRODUCT($I$33:$M$33/(1+$C$22)^$I$26:$M$26),"")</f>
        <v/>
      </c>
    </row>
    <row r="40" customFormat="false" ht="15" hidden="false" customHeight="false" outlineLevel="0" collapsed="false">
      <c r="B40" s="13" t="s">
        <v>567</v>
      </c>
      <c r="C40" s="73" t="str">
        <f aca="false">IF($C$16,IF($C$22&gt;$C$12,$M$33*(1+$C$12)/($C$22-$C$12),"WACC&lt;=g"),"")</f>
        <v/>
      </c>
      <c r="D40" s="50" t="str">
        <f aca="false">IF($C$17,IS_Proj!$M$15*$C$13,"")</f>
        <v/>
      </c>
    </row>
    <row r="41" customFormat="false" ht="15" hidden="false" customHeight="false" outlineLevel="0" collapsed="false">
      <c r="B41" s="13" t="s">
        <v>568</v>
      </c>
      <c r="C41" s="73" t="str">
        <f aca="false">IFERROR(C40/(1+$C$22)^5,"")</f>
        <v/>
      </c>
      <c r="D41" s="73" t="str">
        <f aca="false">IFERROR(D40/(1+$C$22)^5,"")</f>
        <v/>
      </c>
    </row>
    <row r="42" customFormat="false" ht="15" hidden="false" customHeight="false" outlineLevel="0" collapsed="false">
      <c r="B42" s="4" t="s">
        <v>569</v>
      </c>
      <c r="C42" s="84" t="str">
        <f aca="false">IFERROR(C39+C41,"")</f>
        <v/>
      </c>
      <c r="D42" s="84" t="str">
        <f aca="false">IFERROR(D39+D41,"")</f>
        <v/>
      </c>
    </row>
    <row r="43" customFormat="false" ht="15" hidden="false" customHeight="false" outlineLevel="0" collapsed="false">
      <c r="B43" s="13" t="s">
        <v>570</v>
      </c>
      <c r="C43" s="50" t="n">
        <f aca="false">-BS_Proj!H18</f>
        <v>-1083635029572</v>
      </c>
      <c r="D43" s="50" t="n">
        <f aca="false">-BS_Proj!H18</f>
        <v>-1083635029572</v>
      </c>
    </row>
    <row r="44" customFormat="false" ht="15" hidden="false" customHeight="false" outlineLevel="0" collapsed="false">
      <c r="B44" s="13" t="s">
        <v>571</v>
      </c>
      <c r="C44" s="50" t="n">
        <f aca="false">-BS_Proj!H19</f>
        <v>-0</v>
      </c>
      <c r="D44" s="50" t="n">
        <f aca="false">-BS_Proj!H19</f>
        <v>-0</v>
      </c>
    </row>
    <row r="45" customFormat="false" ht="15" hidden="false" customHeight="false" outlineLevel="0" collapsed="false">
      <c r="B45" s="13" t="s">
        <v>572</v>
      </c>
      <c r="C45" s="50" t="n">
        <f aca="false">BS_Proj!H6</f>
        <v>420204094763</v>
      </c>
      <c r="D45" s="50" t="n">
        <f aca="false">BS_Proj!H6</f>
        <v>420204094763</v>
      </c>
    </row>
    <row r="46" customFormat="false" ht="15" hidden="false" customHeight="false" outlineLevel="0" collapsed="false">
      <c r="B46" s="13" t="s">
        <v>573</v>
      </c>
      <c r="C46" s="50" t="n">
        <f aca="false">-BS_Proj!H26</f>
        <v>-1812417290</v>
      </c>
      <c r="D46" s="50" t="n">
        <f aca="false">-BS_Proj!H26</f>
        <v>-1812417290</v>
      </c>
    </row>
    <row r="47" customFormat="false" ht="15" hidden="false" customHeight="false" outlineLevel="0" collapsed="false">
      <c r="B47" s="13" t="s">
        <v>574</v>
      </c>
      <c r="C47" s="73" t="n">
        <f aca="false">N($C$14)</f>
        <v>0</v>
      </c>
      <c r="D47" s="73" t="n">
        <f aca="false">N($C$14)</f>
        <v>0</v>
      </c>
    </row>
    <row r="48" customFormat="false" ht="15" hidden="false" customHeight="false" outlineLevel="0" collapsed="false">
      <c r="B48" s="4" t="s">
        <v>575</v>
      </c>
      <c r="C48" s="84" t="str">
        <f aca="false">IFERROR(C42+SUM(C43:C47),"")</f>
        <v/>
      </c>
      <c r="D48" s="84" t="str">
        <f aca="false">IFERROR(D42+SUM(D43:D47),"")</f>
        <v/>
      </c>
    </row>
    <row r="49" customFormat="false" ht="15" hidden="false" customHeight="false" outlineLevel="0" collapsed="false">
      <c r="B49" s="13" t="s">
        <v>576</v>
      </c>
      <c r="C49" s="71" t="str">
        <f aca="false">IFERROR(C48/Asumsi!$C$110,"")</f>
        <v/>
      </c>
      <c r="D49" s="71" t="str">
        <f aca="false">IFERROR(D48/Asumsi!$C$110,"")</f>
        <v/>
      </c>
    </row>
    <row r="50" customFormat="false" ht="15" hidden="false" customHeight="false" outlineLevel="0" collapsed="false">
      <c r="B50" s="15" t="s">
        <v>577</v>
      </c>
    </row>
    <row r="52" customFormat="false" ht="15" hidden="false" customHeight="false" outlineLevel="0" collapsed="false">
      <c r="A52" s="16"/>
      <c r="B52" s="17" t="s">
        <v>578</v>
      </c>
      <c r="C52" s="16"/>
      <c r="D52" s="16"/>
      <c r="E52" s="16"/>
      <c r="F52" s="16"/>
      <c r="G52" s="16"/>
      <c r="H52" s="16"/>
      <c r="I52" s="16"/>
      <c r="J52" s="16"/>
      <c r="K52" s="16"/>
      <c r="L52" s="16"/>
      <c r="M52" s="16"/>
      <c r="N52" s="16"/>
    </row>
    <row r="53" customFormat="false" ht="15" hidden="false" customHeight="false" outlineLevel="0" collapsed="false">
      <c r="B53" s="4" t="s">
        <v>579</v>
      </c>
      <c r="C53" s="85" t="str">
        <f aca="false">IF($C$16,$C$12+(-0.01),"")</f>
        <v/>
      </c>
      <c r="D53" s="85" t="str">
        <f aca="false">IF($C$16,$C$12+(-0.005),"")</f>
        <v/>
      </c>
      <c r="E53" s="85" t="str">
        <f aca="false">IF($C$16,$C$12+(0),"")</f>
        <v/>
      </c>
      <c r="F53" s="85" t="str">
        <f aca="false">IF($C$16,$C$12+(0.005),"")</f>
        <v/>
      </c>
      <c r="G53" s="85" t="str">
        <f aca="false">IF($C$16,$C$12+(0.01),"")</f>
        <v/>
      </c>
    </row>
    <row r="54" customFormat="false" ht="15" hidden="false" customHeight="false" outlineLevel="0" collapsed="false">
      <c r="B54" s="85" t="str">
        <f aca="false">IF($C$16,$C$22+(-0.02),"")</f>
        <v/>
      </c>
      <c r="C54" s="86" t="str">
        <f aca="false">IF($C$16,IFERROR(IF($B54&gt;C$53,(SUMPRODUCT($I$33:$M$33/(1+$B54)^$I$26:$M$26)+$M$33*(1+C$53)/($B54-C$53)/(1+$B54)^5+SUM($C$43:$C$47))/Asumsi!$C$110,"n/a"),""),"")</f>
        <v/>
      </c>
      <c r="D54" s="86" t="str">
        <f aca="false">IF($C$16,IFERROR(IF($B54&gt;D$53,(SUMPRODUCT($I$33:$M$33/(1+$B54)^$I$26:$M$26)+$M$33*(1+D$53)/($B54-D$53)/(1+$B54)^5+SUM($C$43:$C$47))/Asumsi!$C$110,"n/a"),""),"")</f>
        <v/>
      </c>
      <c r="E54" s="86" t="str">
        <f aca="false">IF($C$16,IFERROR(IF($B54&gt;E$53,(SUMPRODUCT($I$33:$M$33/(1+$B54)^$I$26:$M$26)+$M$33*(1+E$53)/($B54-E$53)/(1+$B54)^5+SUM($C$43:$C$47))/Asumsi!$C$110,"n/a"),""),"")</f>
        <v/>
      </c>
      <c r="F54" s="86" t="str">
        <f aca="false">IF($C$16,IFERROR(IF($B54&gt;F$53,(SUMPRODUCT($I$33:$M$33/(1+$B54)^$I$26:$M$26)+$M$33*(1+F$53)/($B54-F$53)/(1+$B54)^5+SUM($C$43:$C$47))/Asumsi!$C$110,"n/a"),""),"")</f>
        <v/>
      </c>
      <c r="G54" s="86" t="str">
        <f aca="false">IF($C$16,IFERROR(IF($B54&gt;G$53,(SUMPRODUCT($I$33:$M$33/(1+$B54)^$I$26:$M$26)+$M$33*(1+G$53)/($B54-G$53)/(1+$B54)^5+SUM($C$43:$C$47))/Asumsi!$C$110,"n/a"),""),"")</f>
        <v/>
      </c>
    </row>
    <row r="55" customFormat="false" ht="15" hidden="false" customHeight="false" outlineLevel="0" collapsed="false">
      <c r="B55" s="85" t="str">
        <f aca="false">IF($C$16,$C$22+(-0.01),"")</f>
        <v/>
      </c>
      <c r="C55" s="86" t="str">
        <f aca="false">IF($C$16,IFERROR(IF($B55&gt;C$53,(SUMPRODUCT($I$33:$M$33/(1+$B55)^$I$26:$M$26)+$M$33*(1+C$53)/($B55-C$53)/(1+$B55)^5+SUM($C$43:$C$47))/Asumsi!$C$110,"n/a"),""),"")</f>
        <v/>
      </c>
      <c r="D55" s="86" t="str">
        <f aca="false">IF($C$16,IFERROR(IF($B55&gt;D$53,(SUMPRODUCT($I$33:$M$33/(1+$B55)^$I$26:$M$26)+$M$33*(1+D$53)/($B55-D$53)/(1+$B55)^5+SUM($C$43:$C$47))/Asumsi!$C$110,"n/a"),""),"")</f>
        <v/>
      </c>
      <c r="E55" s="86" t="str">
        <f aca="false">IF($C$16,IFERROR(IF($B55&gt;E$53,(SUMPRODUCT($I$33:$M$33/(1+$B55)^$I$26:$M$26)+$M$33*(1+E$53)/($B55-E$53)/(1+$B55)^5+SUM($C$43:$C$47))/Asumsi!$C$110,"n/a"),""),"")</f>
        <v/>
      </c>
      <c r="F55" s="86" t="str">
        <f aca="false">IF($C$16,IFERROR(IF($B55&gt;F$53,(SUMPRODUCT($I$33:$M$33/(1+$B55)^$I$26:$M$26)+$M$33*(1+F$53)/($B55-F$53)/(1+$B55)^5+SUM($C$43:$C$47))/Asumsi!$C$110,"n/a"),""),"")</f>
        <v/>
      </c>
      <c r="G55" s="86" t="str">
        <f aca="false">IF($C$16,IFERROR(IF($B55&gt;G$53,(SUMPRODUCT($I$33:$M$33/(1+$B55)^$I$26:$M$26)+$M$33*(1+G$53)/($B55-G$53)/(1+$B55)^5+SUM($C$43:$C$47))/Asumsi!$C$110,"n/a"),""),"")</f>
        <v/>
      </c>
    </row>
    <row r="56" customFormat="false" ht="15" hidden="false" customHeight="false" outlineLevel="0" collapsed="false">
      <c r="B56" s="85" t="str">
        <f aca="false">IF($C$16,$C$22+(0),"")</f>
        <v/>
      </c>
      <c r="C56" s="86" t="str">
        <f aca="false">IF($C$16,IFERROR(IF($B56&gt;C$53,(SUMPRODUCT($I$33:$M$33/(1+$B56)^$I$26:$M$26)+$M$33*(1+C$53)/($B56-C$53)/(1+$B56)^5+SUM($C$43:$C$47))/Asumsi!$C$110,"n/a"),""),"")</f>
        <v/>
      </c>
      <c r="D56" s="86" t="str">
        <f aca="false">IF($C$16,IFERROR(IF($B56&gt;D$53,(SUMPRODUCT($I$33:$M$33/(1+$B56)^$I$26:$M$26)+$M$33*(1+D$53)/($B56-D$53)/(1+$B56)^5+SUM($C$43:$C$47))/Asumsi!$C$110,"n/a"),""),"")</f>
        <v/>
      </c>
      <c r="E56" s="86" t="str">
        <f aca="false">IF($C$16,IFERROR(IF($B56&gt;E$53,(SUMPRODUCT($I$33:$M$33/(1+$B56)^$I$26:$M$26)+$M$33*(1+E$53)/($B56-E$53)/(1+$B56)^5+SUM($C$43:$C$47))/Asumsi!$C$110,"n/a"),""),"")</f>
        <v/>
      </c>
      <c r="F56" s="86" t="str">
        <f aca="false">IF($C$16,IFERROR(IF($B56&gt;F$53,(SUMPRODUCT($I$33:$M$33/(1+$B56)^$I$26:$M$26)+$M$33*(1+F$53)/($B56-F$53)/(1+$B56)^5+SUM($C$43:$C$47))/Asumsi!$C$110,"n/a"),""),"")</f>
        <v/>
      </c>
      <c r="G56" s="86" t="str">
        <f aca="false">IF($C$16,IFERROR(IF($B56&gt;G$53,(SUMPRODUCT($I$33:$M$33/(1+$B56)^$I$26:$M$26)+$M$33*(1+G$53)/($B56-G$53)/(1+$B56)^5+SUM($C$43:$C$47))/Asumsi!$C$110,"n/a"),""),"")</f>
        <v/>
      </c>
    </row>
    <row r="57" customFormat="false" ht="15" hidden="false" customHeight="false" outlineLevel="0" collapsed="false">
      <c r="B57" s="85" t="str">
        <f aca="false">IF($C$16,$C$22+(0.01),"")</f>
        <v/>
      </c>
      <c r="C57" s="86" t="str">
        <f aca="false">IF($C$16,IFERROR(IF($B57&gt;C$53,(SUMPRODUCT($I$33:$M$33/(1+$B57)^$I$26:$M$26)+$M$33*(1+C$53)/($B57-C$53)/(1+$B57)^5+SUM($C$43:$C$47))/Asumsi!$C$110,"n/a"),""),"")</f>
        <v/>
      </c>
      <c r="D57" s="86" t="str">
        <f aca="false">IF($C$16,IFERROR(IF($B57&gt;D$53,(SUMPRODUCT($I$33:$M$33/(1+$B57)^$I$26:$M$26)+$M$33*(1+D$53)/($B57-D$53)/(1+$B57)^5+SUM($C$43:$C$47))/Asumsi!$C$110,"n/a"),""),"")</f>
        <v/>
      </c>
      <c r="E57" s="86" t="str">
        <f aca="false">IF($C$16,IFERROR(IF($B57&gt;E$53,(SUMPRODUCT($I$33:$M$33/(1+$B57)^$I$26:$M$26)+$M$33*(1+E$53)/($B57-E$53)/(1+$B57)^5+SUM($C$43:$C$47))/Asumsi!$C$110,"n/a"),""),"")</f>
        <v/>
      </c>
      <c r="F57" s="86" t="str">
        <f aca="false">IF($C$16,IFERROR(IF($B57&gt;F$53,(SUMPRODUCT($I$33:$M$33/(1+$B57)^$I$26:$M$26)+$M$33*(1+F$53)/($B57-F$53)/(1+$B57)^5+SUM($C$43:$C$47))/Asumsi!$C$110,"n/a"),""),"")</f>
        <v/>
      </c>
      <c r="G57" s="86" t="str">
        <f aca="false">IF($C$16,IFERROR(IF($B57&gt;G$53,(SUMPRODUCT($I$33:$M$33/(1+$B57)^$I$26:$M$26)+$M$33*(1+G$53)/($B57-G$53)/(1+$B57)^5+SUM($C$43:$C$47))/Asumsi!$C$110,"n/a"),""),"")</f>
        <v/>
      </c>
    </row>
    <row r="58" customFormat="false" ht="15" hidden="false" customHeight="false" outlineLevel="0" collapsed="false">
      <c r="B58" s="85" t="str">
        <f aca="false">IF($C$16,$C$22+(0.02),"")</f>
        <v/>
      </c>
      <c r="C58" s="86" t="str">
        <f aca="false">IF($C$16,IFERROR(IF($B58&gt;C$53,(SUMPRODUCT($I$33:$M$33/(1+$B58)^$I$26:$M$26)+$M$33*(1+C$53)/($B58-C$53)/(1+$B58)^5+SUM($C$43:$C$47))/Asumsi!$C$110,"n/a"),""),"")</f>
        <v/>
      </c>
      <c r="D58" s="86" t="str">
        <f aca="false">IF($C$16,IFERROR(IF($B58&gt;D$53,(SUMPRODUCT($I$33:$M$33/(1+$B58)^$I$26:$M$26)+$M$33*(1+D$53)/($B58-D$53)/(1+$B58)^5+SUM($C$43:$C$47))/Asumsi!$C$110,"n/a"),""),"")</f>
        <v/>
      </c>
      <c r="E58" s="86" t="str">
        <f aca="false">IF($C$16,IFERROR(IF($B58&gt;E$53,(SUMPRODUCT($I$33:$M$33/(1+$B58)^$I$26:$M$26)+$M$33*(1+E$53)/($B58-E$53)/(1+$B58)^5+SUM($C$43:$C$47))/Asumsi!$C$110,"n/a"),""),"")</f>
        <v/>
      </c>
      <c r="F58" s="86" t="str">
        <f aca="false">IF($C$16,IFERROR(IF($B58&gt;F$53,(SUMPRODUCT($I$33:$M$33/(1+$B58)^$I$26:$M$26)+$M$33*(1+F$53)/($B58-F$53)/(1+$B58)^5+SUM($C$43:$C$47))/Asumsi!$C$110,"n/a"),""),"")</f>
        <v/>
      </c>
      <c r="G58" s="86" t="str">
        <f aca="false">IF($C$16,IFERROR(IF($B58&gt;G$53,(SUMPRODUCT($I$33:$M$33/(1+$B58)^$I$26:$M$26)+$M$33*(1+G$53)/($B58-G$53)/(1+$B58)^5+SUM($C$43:$C$47))/Asumsi!$C$110,"n/a"),""),"")</f>
        <v/>
      </c>
    </row>
    <row r="60" customFormat="false" ht="15" hidden="false" customHeight="false" outlineLevel="0" collapsed="false">
      <c r="B60" s="53" t="s">
        <v>580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Q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28"/>
    <col collapsed="false" customWidth="true" hidden="false" outlineLevel="0" max="4" min="4" style="0" width="9"/>
    <col collapsed="false" customWidth="true" hidden="false" outlineLevel="0" max="5" min="5" style="0" width="14"/>
    <col collapsed="false" customWidth="true" hidden="false" outlineLevel="0" max="6" min="6" style="0" width="12"/>
    <col collapsed="false" customWidth="true" hidden="false" outlineLevel="0" max="8" min="7" style="0" width="11"/>
    <col collapsed="false" customWidth="true" hidden="false" outlineLevel="0" max="10" min="9" style="0" width="9"/>
    <col collapsed="false" customWidth="true" hidden="false" outlineLevel="0" max="12" min="11" style="0" width="12"/>
    <col collapsed="false" customWidth="true" hidden="false" outlineLevel="0" max="13" min="13" style="0" width="11"/>
    <col collapsed="false" customWidth="true" hidden="false" outlineLevel="0" max="15" min="14" style="0" width="12"/>
    <col collapsed="false" customWidth="true" hidden="false" outlineLevel="0" max="16" min="16" style="0" width="30"/>
    <col collapsed="false" customWidth="true" hidden="false" outlineLevel="0" max="17" min="17" style="0" width="12"/>
  </cols>
  <sheetData>
    <row r="1" customFormat="false" ht="17.35" hidden="false" customHeight="false" outlineLevel="0" collapsed="false">
      <c r="A1" s="14" t="s">
        <v>581</v>
      </c>
    </row>
    <row r="2" customFormat="false" ht="15" hidden="false" customHeight="false" outlineLevel="0" collapsed="false">
      <c r="A2" s="15" t="s">
        <v>582</v>
      </c>
    </row>
    <row r="4" customFormat="false" ht="42" hidden="false" customHeight="true" outlineLevel="0" collapsed="false">
      <c r="A4" s="25" t="s">
        <v>318</v>
      </c>
      <c r="B4" s="25" t="s">
        <v>583</v>
      </c>
      <c r="C4" s="25" t="s">
        <v>584</v>
      </c>
      <c r="D4" s="25" t="s">
        <v>585</v>
      </c>
      <c r="E4" s="25" t="s">
        <v>586</v>
      </c>
      <c r="F4" s="25" t="s">
        <v>177</v>
      </c>
      <c r="G4" s="25" t="s">
        <v>178</v>
      </c>
      <c r="H4" s="25" t="s">
        <v>372</v>
      </c>
      <c r="I4" s="25" t="s">
        <v>183</v>
      </c>
      <c r="J4" s="25" t="s">
        <v>587</v>
      </c>
      <c r="K4" s="25" t="s">
        <v>588</v>
      </c>
      <c r="L4" s="25" t="s">
        <v>182</v>
      </c>
      <c r="M4" s="25" t="s">
        <v>589</v>
      </c>
      <c r="N4" s="25" t="s">
        <v>590</v>
      </c>
      <c r="O4" s="25" t="s">
        <v>591</v>
      </c>
      <c r="P4" s="25" t="s">
        <v>592</v>
      </c>
      <c r="Q4" s="25" t="s">
        <v>593</v>
      </c>
    </row>
    <row r="5" customFormat="false" ht="15" hidden="false" customHeight="false" outlineLevel="0" collapsed="false">
      <c r="A5" s="13" t="s">
        <v>594</v>
      </c>
      <c r="B5" s="13" t="s">
        <v>595</v>
      </c>
      <c r="C5" s="13" t="s">
        <v>596</v>
      </c>
      <c r="D5" s="87" t="n">
        <v>2025</v>
      </c>
      <c r="E5" s="44" t="n">
        <f aca="false">IS_Proj!H9/1000000000</f>
        <v>439.751605228</v>
      </c>
      <c r="F5" s="46" t="n">
        <f aca="false">IS_Proj!H10</f>
        <v>0.378434838237525</v>
      </c>
      <c r="G5" s="46" t="n">
        <f aca="false">IS_Proj!H29</f>
        <v>0.219082596731055</v>
      </c>
      <c r="H5" s="46" t="n">
        <f aca="false">IS_Proj!H31</f>
        <v>0.011701074105988</v>
      </c>
      <c r="I5" s="46" t="n">
        <f aca="false">BS_Proj!H32</f>
        <v>0.00164029602251767</v>
      </c>
      <c r="J5" s="46" t="n">
        <f aca="false">IS_Proj!H23/BS_Proj!H15</f>
        <v>0.00123219676539308</v>
      </c>
      <c r="K5" s="48" t="n">
        <f aca="false">BS_Proj!H18/BS_Proj!H27</f>
        <v>0.358362039982173</v>
      </c>
      <c r="L5" s="48" t="n">
        <f aca="false">BS_Proj!H33</f>
        <v>6.88621225409975</v>
      </c>
      <c r="M5" s="88"/>
      <c r="N5" s="88"/>
      <c r="O5" s="46" t="n">
        <f aca="false">IS_Proj!H7/(IS_Proj!H6+IS_Proj!H7)</f>
        <v>0.302232162607019</v>
      </c>
      <c r="P5" s="13" t="s">
        <v>597</v>
      </c>
      <c r="Q5" s="13"/>
    </row>
    <row r="6" customFormat="false" ht="15" hidden="false" customHeight="false" outlineLevel="0" collapsed="false">
      <c r="A6" s="89"/>
      <c r="B6" s="89"/>
      <c r="C6" s="89"/>
      <c r="D6" s="90"/>
      <c r="E6" s="91"/>
      <c r="F6" s="75"/>
      <c r="G6" s="75"/>
      <c r="H6" s="75"/>
      <c r="I6" s="75"/>
      <c r="J6" s="75"/>
      <c r="K6" s="77"/>
      <c r="L6" s="77"/>
      <c r="M6" s="92"/>
      <c r="N6" s="92"/>
      <c r="O6" s="75"/>
      <c r="P6" s="89"/>
      <c r="Q6" s="89"/>
    </row>
    <row r="7" customFormat="false" ht="15" hidden="false" customHeight="false" outlineLevel="0" collapsed="false">
      <c r="A7" s="89"/>
      <c r="B7" s="89"/>
      <c r="C7" s="89"/>
      <c r="D7" s="90"/>
      <c r="E7" s="91"/>
      <c r="F7" s="75"/>
      <c r="G7" s="75"/>
      <c r="H7" s="75"/>
      <c r="I7" s="75"/>
      <c r="J7" s="75"/>
      <c r="K7" s="77"/>
      <c r="L7" s="77"/>
      <c r="M7" s="92"/>
      <c r="N7" s="92"/>
      <c r="O7" s="75"/>
      <c r="P7" s="89"/>
      <c r="Q7" s="89"/>
    </row>
    <row r="8" customFormat="false" ht="15" hidden="false" customHeight="false" outlineLevel="0" collapsed="false">
      <c r="A8" s="89"/>
      <c r="B8" s="89"/>
      <c r="C8" s="89"/>
      <c r="D8" s="90"/>
      <c r="E8" s="91"/>
      <c r="F8" s="75"/>
      <c r="G8" s="75"/>
      <c r="H8" s="75"/>
      <c r="I8" s="75"/>
      <c r="J8" s="75"/>
      <c r="K8" s="77"/>
      <c r="L8" s="77"/>
      <c r="M8" s="92"/>
      <c r="N8" s="92"/>
      <c r="O8" s="75"/>
      <c r="P8" s="89"/>
      <c r="Q8" s="89"/>
    </row>
    <row r="9" customFormat="false" ht="15" hidden="false" customHeight="false" outlineLevel="0" collapsed="false">
      <c r="A9" s="89"/>
      <c r="B9" s="89"/>
      <c r="C9" s="89"/>
      <c r="D9" s="90"/>
      <c r="E9" s="91"/>
      <c r="F9" s="75"/>
      <c r="G9" s="75"/>
      <c r="H9" s="75"/>
      <c r="I9" s="75"/>
      <c r="J9" s="75"/>
      <c r="K9" s="77"/>
      <c r="L9" s="77"/>
      <c r="M9" s="92"/>
      <c r="N9" s="92"/>
      <c r="O9" s="75"/>
      <c r="P9" s="89"/>
      <c r="Q9" s="89"/>
    </row>
    <row r="10" customFormat="false" ht="15" hidden="false" customHeight="false" outlineLevel="0" collapsed="false">
      <c r="A10" s="89"/>
      <c r="B10" s="89"/>
      <c r="C10" s="89"/>
      <c r="D10" s="90"/>
      <c r="E10" s="91"/>
      <c r="F10" s="75"/>
      <c r="G10" s="75"/>
      <c r="H10" s="75"/>
      <c r="I10" s="75"/>
      <c r="J10" s="75"/>
      <c r="K10" s="77"/>
      <c r="L10" s="77"/>
      <c r="M10" s="92"/>
      <c r="N10" s="92"/>
      <c r="O10" s="75"/>
      <c r="P10" s="89"/>
      <c r="Q10" s="89"/>
    </row>
    <row r="11" customFormat="false" ht="15" hidden="false" customHeight="false" outlineLevel="0" collapsed="false">
      <c r="A11" s="89"/>
      <c r="B11" s="89"/>
      <c r="C11" s="89"/>
      <c r="D11" s="90"/>
      <c r="E11" s="91"/>
      <c r="F11" s="75"/>
      <c r="G11" s="75"/>
      <c r="H11" s="75"/>
      <c r="I11" s="75"/>
      <c r="J11" s="75"/>
      <c r="K11" s="77"/>
      <c r="L11" s="77"/>
      <c r="M11" s="92"/>
      <c r="N11" s="92"/>
      <c r="O11" s="75"/>
      <c r="P11" s="89"/>
      <c r="Q11" s="89"/>
    </row>
    <row r="12" customFormat="false" ht="15" hidden="false" customHeight="false" outlineLevel="0" collapsed="false">
      <c r="A12" s="89"/>
      <c r="B12" s="89"/>
      <c r="C12" s="89"/>
      <c r="D12" s="90"/>
      <c r="E12" s="91"/>
      <c r="F12" s="75"/>
      <c r="G12" s="75"/>
      <c r="H12" s="75"/>
      <c r="I12" s="75"/>
      <c r="J12" s="75"/>
      <c r="K12" s="77"/>
      <c r="L12" s="77"/>
      <c r="M12" s="92"/>
      <c r="N12" s="92"/>
      <c r="O12" s="75"/>
      <c r="P12" s="89"/>
      <c r="Q12" s="89"/>
    </row>
    <row r="13" customFormat="false" ht="15" hidden="false" customHeight="false" outlineLevel="0" collapsed="false">
      <c r="A13" s="89"/>
      <c r="B13" s="89"/>
      <c r="C13" s="89"/>
      <c r="D13" s="90"/>
      <c r="E13" s="91"/>
      <c r="F13" s="75"/>
      <c r="G13" s="75"/>
      <c r="H13" s="75"/>
      <c r="I13" s="75"/>
      <c r="J13" s="75"/>
      <c r="K13" s="77"/>
      <c r="L13" s="77"/>
      <c r="M13" s="92"/>
      <c r="N13" s="92"/>
      <c r="O13" s="75"/>
      <c r="P13" s="89"/>
      <c r="Q13" s="89"/>
    </row>
    <row r="14" customFormat="false" ht="15" hidden="false" customHeight="false" outlineLevel="0" collapsed="false">
      <c r="B14" s="4" t="s">
        <v>598</v>
      </c>
      <c r="E14" s="93" t="str">
        <f aca="false">IF(COUNT(E6:E13)=0,"",MEDIAN(E6:E13))</f>
        <v/>
      </c>
      <c r="F14" s="85" t="str">
        <f aca="false">IF(COUNT(F6:F13)=0,"",MEDIAN(F6:F13))</f>
        <v/>
      </c>
      <c r="G14" s="85" t="str">
        <f aca="false">IF(COUNT(G6:G13)=0,"",MEDIAN(G6:G13))</f>
        <v/>
      </c>
      <c r="H14" s="85" t="str">
        <f aca="false">IF(COUNT(H6:H13)=0,"",MEDIAN(H6:H13))</f>
        <v/>
      </c>
      <c r="I14" s="85" t="str">
        <f aca="false">IF(COUNT(I6:I13)=0,"",MEDIAN(I6:I13))</f>
        <v/>
      </c>
      <c r="J14" s="85" t="str">
        <f aca="false">IF(COUNT(J6:J13)=0,"",MEDIAN(J6:J13))</f>
        <v/>
      </c>
      <c r="K14" s="94" t="str">
        <f aca="false">IF(COUNT(K6:K13)=0,"",MEDIAN(K6:K13))</f>
        <v/>
      </c>
      <c r="L14" s="94" t="str">
        <f aca="false">IF(COUNT(L6:L13)=0,"",MEDIAN(L6:L13))</f>
        <v/>
      </c>
      <c r="M14" s="95" t="str">
        <f aca="false">IF(COUNT(M6:M13)=0,"",MEDIAN(M6:M13))</f>
        <v/>
      </c>
      <c r="N14" s="95" t="str">
        <f aca="false">IF(COUNT(N6:N13)=0,"",MEDIAN(N6:N13))</f>
        <v/>
      </c>
      <c r="O14" s="85" t="str">
        <f aca="false">IF(COUNT(O6:O13)=0,"",MEDIAN(O6:O13))</f>
        <v/>
      </c>
    </row>
    <row r="15" customFormat="false" ht="15" hidden="false" customHeight="false" outlineLevel="0" collapsed="false">
      <c r="B15" s="4" t="s">
        <v>599</v>
      </c>
      <c r="E15" s="93" t="str">
        <f aca="false">IF(COUNT(E6:E13)=0,"",AVERAGE(E6:E13))</f>
        <v/>
      </c>
      <c r="F15" s="85" t="str">
        <f aca="false">IF(COUNT(F6:F13)=0,"",AVERAGE(F6:F13))</f>
        <v/>
      </c>
      <c r="G15" s="85" t="str">
        <f aca="false">IF(COUNT(G6:G13)=0,"",AVERAGE(G6:G13))</f>
        <v/>
      </c>
      <c r="H15" s="85" t="str">
        <f aca="false">IF(COUNT(H6:H13)=0,"",AVERAGE(H6:H13))</f>
        <v/>
      </c>
      <c r="I15" s="85" t="str">
        <f aca="false">IF(COUNT(I6:I13)=0,"",AVERAGE(I6:I13))</f>
        <v/>
      </c>
      <c r="J15" s="85" t="str">
        <f aca="false">IF(COUNT(J6:J13)=0,"",AVERAGE(J6:J13))</f>
        <v/>
      </c>
      <c r="K15" s="94" t="str">
        <f aca="false">IF(COUNT(K6:K13)=0,"",AVERAGE(K6:K13))</f>
        <v/>
      </c>
      <c r="L15" s="94" t="str">
        <f aca="false">IF(COUNT(L6:L13)=0,"",AVERAGE(L6:L13))</f>
        <v/>
      </c>
      <c r="M15" s="95" t="str">
        <f aca="false">IF(COUNT(M6:M13)=0,"",AVERAGE(M6:M13))</f>
        <v/>
      </c>
      <c r="N15" s="95" t="str">
        <f aca="false">IF(COUNT(N6:N13)=0,"",AVERAGE(N6:N13))</f>
        <v/>
      </c>
      <c r="O15" s="85" t="str">
        <f aca="false">IF(COUNT(O6:O13)=0,"",AVERAGE(O6:O13))</f>
        <v/>
      </c>
    </row>
    <row r="17" customFormat="false" ht="15" hidden="false" customHeight="false" outlineLevel="0" collapsed="false">
      <c r="B17" s="15" t="s">
        <v>600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601</v>
      </c>
    </row>
    <row r="2" customFormat="false" ht="15" hidden="false" customHeight="false" outlineLevel="0" collapsed="false">
      <c r="A2" s="15" t="s">
        <v>602</v>
      </c>
    </row>
    <row r="3" customFormat="false" ht="39.75" hidden="false" customHeight="true" outlineLevel="0" collapsed="false">
      <c r="B3" s="15" t="s">
        <v>603</v>
      </c>
      <c r="C3" s="96" t="s">
        <v>604</v>
      </c>
      <c r="D3" s="97" t="s">
        <v>605</v>
      </c>
      <c r="E3" s="97" t="s">
        <v>606</v>
      </c>
      <c r="F3" s="97" t="s">
        <v>607</v>
      </c>
      <c r="G3" s="97" t="s">
        <v>608</v>
      </c>
      <c r="H3" s="97" t="s">
        <v>609</v>
      </c>
      <c r="I3" s="5" t="s">
        <v>610</v>
      </c>
    </row>
    <row r="4" customFormat="false" ht="15" hidden="false" customHeight="false" outlineLevel="0" collapsed="false">
      <c r="A4" s="25" t="s">
        <v>318</v>
      </c>
      <c r="B4" s="25" t="s">
        <v>319</v>
      </c>
      <c r="C4" s="25" t="s">
        <v>130</v>
      </c>
      <c r="D4" s="25" t="s">
        <v>131</v>
      </c>
      <c r="E4" s="25" t="s">
        <v>132</v>
      </c>
      <c r="F4" s="25" t="s">
        <v>133</v>
      </c>
      <c r="G4" s="25" t="s">
        <v>134</v>
      </c>
      <c r="H4" s="25" t="s">
        <v>135</v>
      </c>
      <c r="I4" s="25" t="s">
        <v>320</v>
      </c>
    </row>
    <row r="5" customFormat="false" ht="15" hidden="false" customHeight="false" outlineLevel="0" collapsed="false">
      <c r="A5" s="16"/>
      <c r="B5" s="17" t="s">
        <v>611</v>
      </c>
      <c r="C5" s="16"/>
      <c r="D5" s="16"/>
      <c r="E5" s="16"/>
      <c r="F5" s="16"/>
      <c r="G5" s="16"/>
      <c r="H5" s="16"/>
      <c r="I5" s="16"/>
    </row>
    <row r="6" customFormat="false" ht="15" hidden="false" customHeight="false" outlineLevel="0" collapsed="false">
      <c r="A6" s="54" t="s">
        <v>612</v>
      </c>
      <c r="B6" s="13" t="s">
        <v>613</v>
      </c>
      <c r="C6" s="61" t="n">
        <v>216296095571</v>
      </c>
      <c r="D6" s="61" t="n">
        <v>290934356126</v>
      </c>
      <c r="E6" s="61" t="n">
        <v>233970724609</v>
      </c>
      <c r="F6" s="61" t="n">
        <v>242680799183</v>
      </c>
      <c r="G6" s="61" t="n">
        <v>319022410802</v>
      </c>
      <c r="H6" s="61" t="n">
        <v>439751605228</v>
      </c>
      <c r="I6" s="15" t="s">
        <v>614</v>
      </c>
    </row>
    <row r="7" customFormat="false" ht="15" hidden="false" customHeight="false" outlineLevel="0" collapsed="false">
      <c r="A7" s="54" t="s">
        <v>615</v>
      </c>
      <c r="B7" s="13" t="s">
        <v>616</v>
      </c>
      <c r="C7" s="61" t="n">
        <v>-113404642135</v>
      </c>
      <c r="D7" s="61" t="n">
        <v>-145000436678</v>
      </c>
      <c r="E7" s="61" t="n">
        <v>-137738459043</v>
      </c>
      <c r="F7" s="61" t="n">
        <v>-153026530241</v>
      </c>
      <c r="G7" s="61" t="n">
        <v>-214434696643</v>
      </c>
      <c r="H7" s="61" t="n">
        <v>-224594016289</v>
      </c>
      <c r="I7" s="15" t="s">
        <v>617</v>
      </c>
    </row>
    <row r="8" customFormat="false" ht="15" hidden="false" customHeight="false" outlineLevel="0" collapsed="false">
      <c r="A8" s="64" t="s">
        <v>618</v>
      </c>
      <c r="B8" s="65" t="s">
        <v>619</v>
      </c>
      <c r="C8" s="67" t="n">
        <f aca="false">C6+C7</f>
        <v>102891453436</v>
      </c>
      <c r="D8" s="67" t="n">
        <f aca="false">D6+D7</f>
        <v>145933919448</v>
      </c>
      <c r="E8" s="67" t="n">
        <f aca="false">E6+E7</f>
        <v>96232265566</v>
      </c>
      <c r="F8" s="67" t="n">
        <f aca="false">F6+F7</f>
        <v>89654268942</v>
      </c>
      <c r="G8" s="67" t="n">
        <f aca="false">G6+G7</f>
        <v>104587714159</v>
      </c>
      <c r="H8" s="67" t="n">
        <f aca="false">H6+H7</f>
        <v>215157588939</v>
      </c>
    </row>
    <row r="9" customFormat="false" ht="15" hidden="false" customHeight="false" outlineLevel="0" collapsed="false">
      <c r="A9" s="54" t="s">
        <v>620</v>
      </c>
      <c r="B9" s="13" t="s">
        <v>621</v>
      </c>
      <c r="C9" s="61" t="n">
        <v>-118408634509</v>
      </c>
      <c r="D9" s="61" t="n">
        <v>-131835962281</v>
      </c>
      <c r="E9" s="61" t="n">
        <v>-156823647433</v>
      </c>
      <c r="F9" s="61" t="n">
        <v>-125793052442</v>
      </c>
      <c r="G9" s="61" t="n">
        <v>-134515340769</v>
      </c>
      <c r="H9" s="61" t="n">
        <v>-145141717485</v>
      </c>
      <c r="I9" s="15" t="s">
        <v>622</v>
      </c>
    </row>
    <row r="10" customFormat="false" ht="15" hidden="false" customHeight="false" outlineLevel="0" collapsed="false">
      <c r="A10" s="64" t="s">
        <v>623</v>
      </c>
      <c r="B10" s="65" t="s">
        <v>624</v>
      </c>
      <c r="C10" s="67" t="n">
        <f aca="false">C8+C9</f>
        <v>-15517181073</v>
      </c>
      <c r="D10" s="67" t="n">
        <f aca="false">D8+D9</f>
        <v>14097957167</v>
      </c>
      <c r="E10" s="67" t="n">
        <f aca="false">E8+E9</f>
        <v>-60591381867</v>
      </c>
      <c r="F10" s="67" t="n">
        <f aca="false">F8+F9</f>
        <v>-36138783500</v>
      </c>
      <c r="G10" s="67" t="n">
        <f aca="false">G8+G9</f>
        <v>-29927626610</v>
      </c>
      <c r="H10" s="67" t="n">
        <f aca="false">H8+H9</f>
        <v>70015871454</v>
      </c>
    </row>
    <row r="11" customFormat="false" ht="15" hidden="false" customHeight="false" outlineLevel="0" collapsed="false">
      <c r="A11" s="54" t="s">
        <v>625</v>
      </c>
      <c r="B11" s="13" t="s">
        <v>626</v>
      </c>
      <c r="C11" s="61" t="n">
        <v>532768164</v>
      </c>
      <c r="D11" s="61" t="n">
        <v>2465367652</v>
      </c>
      <c r="E11" s="61" t="n">
        <v>25636825732</v>
      </c>
      <c r="F11" s="61" t="n">
        <v>250325287</v>
      </c>
      <c r="G11" s="61" t="n">
        <v>25235874672</v>
      </c>
      <c r="H11" s="61" t="n">
        <v>2857036197</v>
      </c>
      <c r="I11" s="15" t="s">
        <v>627</v>
      </c>
    </row>
    <row r="12" customFormat="false" ht="15" hidden="false" customHeight="false" outlineLevel="0" collapsed="false">
      <c r="A12" s="64" t="s">
        <v>628</v>
      </c>
      <c r="B12" s="65" t="s">
        <v>629</v>
      </c>
      <c r="C12" s="67" t="n">
        <f aca="false">C11</f>
        <v>532768164</v>
      </c>
      <c r="D12" s="67" t="n">
        <f aca="false">D11</f>
        <v>2465367652</v>
      </c>
      <c r="E12" s="67" t="n">
        <f aca="false">E11</f>
        <v>25636825732</v>
      </c>
      <c r="F12" s="67" t="n">
        <f aca="false">F11</f>
        <v>250325287</v>
      </c>
      <c r="G12" s="67" t="n">
        <f aca="false">G11</f>
        <v>25235874672</v>
      </c>
      <c r="H12" s="67" t="n">
        <f aca="false">H11</f>
        <v>2857036197</v>
      </c>
    </row>
    <row r="13" customFormat="false" ht="15" hidden="false" customHeight="false" outlineLevel="0" collapsed="false">
      <c r="A13" s="54" t="s">
        <v>630</v>
      </c>
      <c r="B13" s="13" t="s">
        <v>631</v>
      </c>
      <c r="C13" s="61" t="n">
        <v>40428301431</v>
      </c>
      <c r="D13" s="61" t="n">
        <v>15781938577</v>
      </c>
      <c r="E13" s="61" t="n">
        <v>31784929332</v>
      </c>
      <c r="F13" s="61" t="n">
        <v>6623274915</v>
      </c>
      <c r="G13" s="61" t="n">
        <v>6242710845</v>
      </c>
      <c r="H13" s="61" t="n">
        <v>15555391585</v>
      </c>
      <c r="I13" s="15" t="s">
        <v>632</v>
      </c>
    </row>
    <row r="14" customFormat="false" ht="15" hidden="false" customHeight="false" outlineLevel="0" collapsed="false">
      <c r="A14" s="54" t="s">
        <v>633</v>
      </c>
      <c r="B14" s="13" t="s">
        <v>634</v>
      </c>
      <c r="C14" s="61" t="n">
        <v>-11651080910</v>
      </c>
      <c r="D14" s="61" t="n">
        <v>-25838724542</v>
      </c>
      <c r="E14" s="61" t="n">
        <v>-90146332117</v>
      </c>
      <c r="F14" s="61" t="n">
        <v>-76857656488</v>
      </c>
      <c r="G14" s="61" t="n">
        <v>-77315017008</v>
      </c>
      <c r="H14" s="61" t="n">
        <v>-80356964083</v>
      </c>
      <c r="I14" s="15" t="s">
        <v>635</v>
      </c>
    </row>
    <row r="15" customFormat="false" ht="15" hidden="false" customHeight="false" outlineLevel="0" collapsed="false">
      <c r="A15" s="64" t="s">
        <v>636</v>
      </c>
      <c r="B15" s="65" t="s">
        <v>637</v>
      </c>
      <c r="C15" s="67" t="n">
        <f aca="false">C10+C11+C13+C14</f>
        <v>13792807612</v>
      </c>
      <c r="D15" s="67" t="n">
        <f aca="false">D10+D11+D13+D14</f>
        <v>6506538854</v>
      </c>
      <c r="E15" s="67" t="n">
        <f aca="false">E10+E11+E13+E14</f>
        <v>-93315958920</v>
      </c>
      <c r="F15" s="67" t="n">
        <f aca="false">F10+F11+F13+F14</f>
        <v>-106122839786</v>
      </c>
      <c r="G15" s="67" t="n">
        <f aca="false">G10+G11+G13+G14</f>
        <v>-75764058101</v>
      </c>
      <c r="H15" s="67" t="n">
        <f aca="false">H10+H11+H13+H14</f>
        <v>8071335153</v>
      </c>
    </row>
    <row r="16" customFormat="false" ht="15" hidden="false" customHeight="false" outlineLevel="0" collapsed="false">
      <c r="A16" s="54" t="s">
        <v>638</v>
      </c>
      <c r="B16" s="13" t="s">
        <v>639</v>
      </c>
      <c r="C16" s="61" t="n">
        <v>375143524</v>
      </c>
      <c r="D16" s="61" t="n">
        <v>-332914077</v>
      </c>
      <c r="E16" s="61" t="n">
        <v>-288463386</v>
      </c>
      <c r="F16" s="61" t="n">
        <v>-4566022109</v>
      </c>
      <c r="G16" s="61" t="n">
        <v>-4153162003</v>
      </c>
      <c r="H16" s="61" t="n">
        <v>-2925769032</v>
      </c>
      <c r="I16" s="15" t="s">
        <v>640</v>
      </c>
    </row>
    <row r="17" customFormat="false" ht="15" hidden="false" customHeight="false" outlineLevel="0" collapsed="false">
      <c r="A17" s="64" t="s">
        <v>641</v>
      </c>
      <c r="B17" s="65" t="s">
        <v>141</v>
      </c>
      <c r="C17" s="67" t="n">
        <f aca="false">C15+C16</f>
        <v>14167951136</v>
      </c>
      <c r="D17" s="67" t="n">
        <f aca="false">D15+D16</f>
        <v>6173624777</v>
      </c>
      <c r="E17" s="67" t="n">
        <f aca="false">E15+E16</f>
        <v>-93604422306</v>
      </c>
      <c r="F17" s="67" t="n">
        <f aca="false">F15+F16</f>
        <v>-110688861895</v>
      </c>
      <c r="G17" s="67" t="n">
        <f aca="false">G15+G16</f>
        <v>-79917220104</v>
      </c>
      <c r="H17" s="67" t="n">
        <f aca="false">H15+H16</f>
        <v>5145566121</v>
      </c>
    </row>
    <row r="18" customFormat="false" ht="15" hidden="false" customHeight="false" outlineLevel="0" collapsed="false">
      <c r="A18" s="16"/>
      <c r="B18" s="17" t="s">
        <v>642</v>
      </c>
      <c r="C18" s="16"/>
      <c r="D18" s="16"/>
      <c r="E18" s="16"/>
      <c r="F18" s="16"/>
      <c r="G18" s="16"/>
      <c r="H18" s="16"/>
      <c r="I18" s="16"/>
    </row>
    <row r="19" customFormat="false" ht="15" hidden="false" customHeight="false" outlineLevel="0" collapsed="false">
      <c r="A19" s="54" t="s">
        <v>643</v>
      </c>
      <c r="B19" s="13" t="s">
        <v>644</v>
      </c>
      <c r="C19" s="61" t="n">
        <v>212586100</v>
      </c>
      <c r="D19" s="61" t="n">
        <v>1713820262</v>
      </c>
      <c r="E19" s="61" t="n">
        <v>2856898707</v>
      </c>
      <c r="F19" s="61" t="n">
        <v>1950086378</v>
      </c>
      <c r="G19" s="61" t="n">
        <v>743652348</v>
      </c>
      <c r="H19" s="61" t="n">
        <v>414241358</v>
      </c>
      <c r="I19" s="15" t="s">
        <v>645</v>
      </c>
    </row>
    <row r="20" customFormat="false" ht="15" hidden="false" customHeight="false" outlineLevel="0" collapsed="false">
      <c r="A20" s="54" t="s">
        <v>646</v>
      </c>
      <c r="B20" s="13" t="s">
        <v>647</v>
      </c>
      <c r="C20" s="61" t="n">
        <v>-46768943</v>
      </c>
      <c r="D20" s="61" t="n">
        <v>-377040458</v>
      </c>
      <c r="E20" s="61" t="n">
        <v>-628517716</v>
      </c>
      <c r="F20" s="61" t="n">
        <v>-429019004</v>
      </c>
      <c r="G20" s="61" t="n">
        <v>-163603517</v>
      </c>
      <c r="H20" s="61" t="n">
        <v>-91133099</v>
      </c>
      <c r="I20" s="15" t="s">
        <v>648</v>
      </c>
    </row>
    <row r="21" customFormat="false" ht="15" hidden="false" customHeight="false" outlineLevel="0" collapsed="false">
      <c r="A21" s="64" t="s">
        <v>649</v>
      </c>
      <c r="B21" s="65" t="s">
        <v>650</v>
      </c>
      <c r="C21" s="67" t="n">
        <f aca="false">C19+C20</f>
        <v>165817157</v>
      </c>
      <c r="D21" s="67" t="n">
        <f aca="false">D19+D20</f>
        <v>1336779804</v>
      </c>
      <c r="E21" s="67" t="n">
        <f aca="false">E19+E20</f>
        <v>2228380991</v>
      </c>
      <c r="F21" s="67" t="n">
        <f aca="false">F19+F20</f>
        <v>1521067374</v>
      </c>
      <c r="G21" s="67" t="n">
        <f aca="false">G19+G20</f>
        <v>580048831</v>
      </c>
      <c r="H21" s="67" t="n">
        <f aca="false">H19+H20</f>
        <v>323108259</v>
      </c>
    </row>
    <row r="22" customFormat="false" ht="15" hidden="false" customHeight="false" outlineLevel="0" collapsed="false">
      <c r="A22" s="64" t="s">
        <v>651</v>
      </c>
      <c r="B22" s="65" t="s">
        <v>652</v>
      </c>
      <c r="C22" s="67" t="n">
        <f aca="false">C17+C21</f>
        <v>14333768293</v>
      </c>
      <c r="D22" s="67" t="n">
        <f aca="false">D17+D21</f>
        <v>7510404581</v>
      </c>
      <c r="E22" s="67" t="n">
        <f aca="false">E17+E21</f>
        <v>-91376041315</v>
      </c>
      <c r="F22" s="67" t="n">
        <f aca="false">F17+F21</f>
        <v>-109167794521</v>
      </c>
      <c r="G22" s="67" t="n">
        <f aca="false">G17+G21</f>
        <v>-79337171273</v>
      </c>
      <c r="H22" s="67" t="n">
        <f aca="false">H17+H21</f>
        <v>5468674380</v>
      </c>
    </row>
    <row r="23" customFormat="false" ht="15" hidden="false" customHeight="false" outlineLevel="0" collapsed="false">
      <c r="A23" s="16"/>
      <c r="B23" s="17" t="s">
        <v>653</v>
      </c>
      <c r="C23" s="16"/>
      <c r="D23" s="16"/>
      <c r="E23" s="16"/>
      <c r="F23" s="16"/>
      <c r="G23" s="16"/>
      <c r="H23" s="16"/>
      <c r="I23" s="16"/>
    </row>
    <row r="24" customFormat="false" ht="15" hidden="false" customHeight="false" outlineLevel="0" collapsed="false">
      <c r="A24" s="54" t="s">
        <v>654</v>
      </c>
      <c r="B24" s="13" t="s">
        <v>655</v>
      </c>
      <c r="C24" s="61" t="n">
        <v>14312842564</v>
      </c>
      <c r="D24" s="61" t="n">
        <v>6099193871</v>
      </c>
      <c r="E24" s="61" t="n">
        <v>-93543896993</v>
      </c>
      <c r="F24" s="61" t="n">
        <v>-110919788807</v>
      </c>
      <c r="G24" s="61" t="n">
        <v>-80309181321</v>
      </c>
      <c r="H24" s="61" t="n">
        <v>4952718308</v>
      </c>
      <c r="I24" s="15" t="s">
        <v>656</v>
      </c>
    </row>
    <row r="25" customFormat="false" ht="15" hidden="false" customHeight="false" outlineLevel="0" collapsed="false">
      <c r="A25" s="54" t="s">
        <v>657</v>
      </c>
      <c r="B25" s="13" t="s">
        <v>658</v>
      </c>
      <c r="C25" s="61" t="n">
        <v>-144891428</v>
      </c>
      <c r="D25" s="61" t="n">
        <v>74430906</v>
      </c>
      <c r="E25" s="61" t="n">
        <v>-60525313</v>
      </c>
      <c r="F25" s="61" t="n">
        <v>230926912</v>
      </c>
      <c r="G25" s="61" t="n">
        <v>391961217</v>
      </c>
      <c r="H25" s="61" t="n">
        <v>192847813</v>
      </c>
      <c r="I25" s="15" t="s">
        <v>659</v>
      </c>
    </row>
    <row r="26" customFormat="false" ht="15" hidden="false" customHeight="false" outlineLevel="0" collapsed="false">
      <c r="A26" s="54" t="s">
        <v>660</v>
      </c>
      <c r="B26" s="13" t="s">
        <v>661</v>
      </c>
      <c r="C26" s="61" t="n">
        <v>14481079666</v>
      </c>
      <c r="D26" s="61" t="n">
        <v>7416307993</v>
      </c>
      <c r="E26" s="61" t="n">
        <v>-91343061468</v>
      </c>
      <c r="F26" s="61" t="n">
        <v>-109408572601</v>
      </c>
      <c r="G26" s="61" t="n">
        <v>-79732226609</v>
      </c>
      <c r="H26" s="61" t="n">
        <v>5275826567</v>
      </c>
      <c r="I26" s="15" t="s">
        <v>662</v>
      </c>
    </row>
    <row r="27" customFormat="false" ht="15" hidden="false" customHeight="false" outlineLevel="0" collapsed="false">
      <c r="A27" s="54" t="s">
        <v>663</v>
      </c>
      <c r="B27" s="13" t="s">
        <v>664</v>
      </c>
      <c r="C27" s="61" t="n">
        <v>-147311373</v>
      </c>
      <c r="D27" s="61" t="n">
        <v>94096588</v>
      </c>
      <c r="E27" s="61" t="n">
        <v>-32979847</v>
      </c>
      <c r="F27" s="61" t="n">
        <v>240778080</v>
      </c>
      <c r="G27" s="61" t="n">
        <v>395055336</v>
      </c>
      <c r="H27" s="61" t="n">
        <v>192847813</v>
      </c>
      <c r="I27" s="15" t="s">
        <v>665</v>
      </c>
    </row>
    <row r="28" customFormat="false" ht="15" hidden="false" customHeight="false" outlineLevel="0" collapsed="false">
      <c r="A28" s="54" t="s">
        <v>666</v>
      </c>
      <c r="B28" s="13" t="s">
        <v>667</v>
      </c>
      <c r="C28" s="98" t="n">
        <v>0.51</v>
      </c>
      <c r="D28" s="98" t="n">
        <v>0.18</v>
      </c>
      <c r="E28" s="98" t="n">
        <v>-2.81</v>
      </c>
      <c r="F28" s="98" t="n">
        <v>-3.34</v>
      </c>
      <c r="G28" s="98" t="n">
        <v>-2.42</v>
      </c>
      <c r="H28" s="98" t="n">
        <v>0.15</v>
      </c>
      <c r="I28" s="15" t="s">
        <v>668</v>
      </c>
    </row>
    <row r="29" customFormat="false" ht="15" hidden="false" customHeight="false" outlineLevel="0" collapsed="false">
      <c r="A29" s="54" t="s">
        <v>669</v>
      </c>
      <c r="B29" s="13" t="s">
        <v>670</v>
      </c>
      <c r="C29" s="98" t="n">
        <v>0.51</v>
      </c>
      <c r="D29" s="98" t="n">
        <v>0.18</v>
      </c>
      <c r="E29" s="98" t="n">
        <v>-2.81</v>
      </c>
      <c r="F29" s="98" t="n">
        <v>-3.34</v>
      </c>
      <c r="G29" s="98" t="n">
        <v>-2.42</v>
      </c>
      <c r="H29" s="98" t="n">
        <v>0.15</v>
      </c>
      <c r="I29" s="15" t="s">
        <v>671</v>
      </c>
    </row>
    <row r="30" customFormat="false" ht="15" hidden="false" customHeight="false" outlineLevel="0" collapsed="false">
      <c r="A30" s="16"/>
      <c r="B30" s="17" t="s">
        <v>672</v>
      </c>
      <c r="C30" s="16"/>
      <c r="D30" s="16"/>
      <c r="E30" s="16"/>
      <c r="F30" s="16"/>
      <c r="G30" s="16"/>
      <c r="H30" s="16"/>
      <c r="I30" s="16"/>
    </row>
    <row r="31" customFormat="false" ht="15" hidden="false" customHeight="false" outlineLevel="0" collapsed="false">
      <c r="A31" s="54" t="s">
        <v>673</v>
      </c>
      <c r="B31" s="13" t="s">
        <v>674</v>
      </c>
      <c r="C31" s="61" t="n">
        <v>-1173268664</v>
      </c>
      <c r="D31" s="61" t="n">
        <v>-4712708186</v>
      </c>
      <c r="E31" s="61" t="n">
        <v>-1015824357</v>
      </c>
      <c r="F31" s="61" t="n">
        <v>-3947518609</v>
      </c>
      <c r="G31" s="61" t="n">
        <v>-4906863060</v>
      </c>
      <c r="H31" s="61" t="n">
        <v>-3588173160</v>
      </c>
      <c r="I31" s="15" t="s">
        <v>675</v>
      </c>
    </row>
    <row r="32" customFormat="false" ht="15" hidden="false" customHeight="false" outlineLevel="0" collapsed="false">
      <c r="A32" s="54" t="s">
        <v>676</v>
      </c>
      <c r="B32" s="13" t="s">
        <v>677</v>
      </c>
      <c r="C32" s="61" t="n">
        <v>1548412188</v>
      </c>
      <c r="D32" s="61" t="n">
        <v>4379794109</v>
      </c>
      <c r="E32" s="61" t="n">
        <v>727360971</v>
      </c>
      <c r="F32" s="61" t="n">
        <v>-618503500</v>
      </c>
      <c r="G32" s="61" t="n">
        <v>753701057</v>
      </c>
      <c r="H32" s="61" t="n">
        <v>662404128</v>
      </c>
      <c r="I32" s="15" t="s">
        <v>678</v>
      </c>
    </row>
    <row r="33" customFormat="false" ht="15" hidden="false" customHeight="false" outlineLevel="0" collapsed="false">
      <c r="A33" s="16"/>
      <c r="B33" s="17" t="s">
        <v>679</v>
      </c>
      <c r="C33" s="16"/>
      <c r="D33" s="16"/>
      <c r="E33" s="16"/>
      <c r="F33" s="16"/>
      <c r="G33" s="16"/>
      <c r="H33" s="16"/>
      <c r="I33" s="16"/>
    </row>
    <row r="34" customFormat="false" ht="15" hidden="false" customHeight="false" outlineLevel="0" collapsed="false">
      <c r="A34" s="54" t="s">
        <v>680</v>
      </c>
      <c r="B34" s="13" t="s">
        <v>681</v>
      </c>
      <c r="C34" s="61" t="n">
        <v>102891453436</v>
      </c>
      <c r="D34" s="61" t="n">
        <v>145933919448</v>
      </c>
      <c r="E34" s="61" t="n">
        <v>96232265566</v>
      </c>
      <c r="F34" s="61" t="n">
        <v>89654268942</v>
      </c>
      <c r="G34" s="61" t="n">
        <v>104587714159</v>
      </c>
      <c r="H34" s="61" t="n">
        <v>215157588939</v>
      </c>
      <c r="I34" s="15" t="s">
        <v>682</v>
      </c>
    </row>
    <row r="35" customFormat="false" ht="15" hidden="false" customHeight="false" outlineLevel="0" collapsed="false">
      <c r="A35" s="54" t="s">
        <v>683</v>
      </c>
      <c r="B35" s="13" t="s">
        <v>684</v>
      </c>
      <c r="C35" s="61" t="n">
        <v>-15517181073</v>
      </c>
      <c r="D35" s="61" t="n">
        <v>14097957167</v>
      </c>
      <c r="E35" s="61" t="n">
        <v>-60591381867</v>
      </c>
      <c r="F35" s="61" t="n">
        <v>-36138783500</v>
      </c>
      <c r="G35" s="61" t="n">
        <v>-29927626610</v>
      </c>
      <c r="H35" s="61" t="n">
        <v>70015871454</v>
      </c>
      <c r="I35" s="15" t="s">
        <v>685</v>
      </c>
    </row>
    <row r="36" customFormat="false" ht="15" hidden="false" customHeight="false" outlineLevel="0" collapsed="false">
      <c r="A36" s="54" t="s">
        <v>686</v>
      </c>
      <c r="B36" s="13" t="s">
        <v>687</v>
      </c>
      <c r="C36" s="61" t="n">
        <v>13792807612</v>
      </c>
      <c r="D36" s="61" t="n">
        <v>6506538854</v>
      </c>
      <c r="E36" s="61" t="n">
        <v>-93315958920</v>
      </c>
      <c r="F36" s="61" t="n">
        <v>-106122839786</v>
      </c>
      <c r="G36" s="61" t="n">
        <v>-75764058101</v>
      </c>
      <c r="H36" s="61" t="n">
        <v>8071335153</v>
      </c>
      <c r="I36" s="15" t="s">
        <v>688</v>
      </c>
    </row>
    <row r="37" customFormat="false" ht="15" hidden="false" customHeight="false" outlineLevel="0" collapsed="false">
      <c r="A37" s="54" t="s">
        <v>689</v>
      </c>
      <c r="B37" s="13" t="s">
        <v>690</v>
      </c>
      <c r="C37" s="61" t="n">
        <v>14167951136</v>
      </c>
      <c r="D37" s="61" t="n">
        <v>6173624777</v>
      </c>
      <c r="E37" s="61" t="n">
        <v>-93604422306</v>
      </c>
      <c r="F37" s="61" t="n">
        <v>-110688861895</v>
      </c>
      <c r="G37" s="61" t="n">
        <v>-79917220104</v>
      </c>
      <c r="H37" s="61" t="n">
        <v>5145566121</v>
      </c>
      <c r="I37" s="15" t="s">
        <v>691</v>
      </c>
    </row>
    <row r="38" customFormat="false" ht="15" hidden="false" customHeight="false" outlineLevel="0" collapsed="false">
      <c r="A38" s="54" t="s">
        <v>692</v>
      </c>
      <c r="B38" s="13" t="s">
        <v>693</v>
      </c>
      <c r="C38" s="61" t="n">
        <v>165817157</v>
      </c>
      <c r="D38" s="61" t="n">
        <v>1336779804</v>
      </c>
      <c r="E38" s="61" t="n">
        <v>2228380991</v>
      </c>
      <c r="F38" s="61" t="n">
        <v>1521067374</v>
      </c>
      <c r="G38" s="61" t="n">
        <v>580048831</v>
      </c>
      <c r="H38" s="61" t="n">
        <v>323108259</v>
      </c>
      <c r="I38" s="15" t="s">
        <v>694</v>
      </c>
    </row>
    <row r="39" customFormat="false" ht="15" hidden="false" customHeight="false" outlineLevel="0" collapsed="false">
      <c r="A39" s="54" t="s">
        <v>695</v>
      </c>
      <c r="B39" s="13" t="s">
        <v>696</v>
      </c>
      <c r="C39" s="61" t="n">
        <v>14333768293</v>
      </c>
      <c r="D39" s="61" t="n">
        <v>7510404581</v>
      </c>
      <c r="E39" s="61" t="n">
        <v>-91376041315</v>
      </c>
      <c r="F39" s="61" t="n">
        <v>-109167794521</v>
      </c>
      <c r="G39" s="61" t="n">
        <v>-79337171273</v>
      </c>
      <c r="H39" s="61" t="n">
        <v>5468674380</v>
      </c>
      <c r="I39" s="15" t="s">
        <v>697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698</v>
      </c>
    </row>
    <row r="2" customFormat="false" ht="15" hidden="false" customHeight="false" outlineLevel="0" collapsed="false">
      <c r="A2" s="15" t="s">
        <v>602</v>
      </c>
    </row>
    <row r="3" customFormat="false" ht="39.75" hidden="false" customHeight="true" outlineLevel="0" collapsed="false">
      <c r="B3" s="15" t="s">
        <v>603</v>
      </c>
      <c r="C3" s="96" t="s">
        <v>604</v>
      </c>
      <c r="D3" s="97" t="s">
        <v>605</v>
      </c>
      <c r="E3" s="97" t="s">
        <v>606</v>
      </c>
      <c r="F3" s="97" t="s">
        <v>607</v>
      </c>
      <c r="G3" s="97" t="s">
        <v>608</v>
      </c>
      <c r="H3" s="97" t="s">
        <v>609</v>
      </c>
      <c r="I3" s="5" t="s">
        <v>610</v>
      </c>
    </row>
    <row r="4" customFormat="false" ht="15" hidden="false" customHeight="false" outlineLevel="0" collapsed="false">
      <c r="A4" s="25" t="s">
        <v>318</v>
      </c>
      <c r="B4" s="25" t="s">
        <v>319</v>
      </c>
      <c r="C4" s="25" t="s">
        <v>130</v>
      </c>
      <c r="D4" s="25" t="s">
        <v>131</v>
      </c>
      <c r="E4" s="25" t="s">
        <v>132</v>
      </c>
      <c r="F4" s="25" t="s">
        <v>133</v>
      </c>
      <c r="G4" s="25" t="s">
        <v>134</v>
      </c>
      <c r="H4" s="25" t="s">
        <v>135</v>
      </c>
      <c r="I4" s="25" t="s">
        <v>320</v>
      </c>
    </row>
    <row r="5" customFormat="false" ht="15" hidden="false" customHeight="false" outlineLevel="0" collapsed="false">
      <c r="A5" s="16"/>
      <c r="B5" s="17" t="s">
        <v>374</v>
      </c>
      <c r="C5" s="16"/>
      <c r="D5" s="16"/>
      <c r="E5" s="16"/>
      <c r="F5" s="16"/>
      <c r="G5" s="16"/>
      <c r="H5" s="16"/>
      <c r="I5" s="16"/>
    </row>
    <row r="6" customFormat="false" ht="15" hidden="false" customHeight="false" outlineLevel="0" collapsed="false">
      <c r="A6" s="54" t="s">
        <v>699</v>
      </c>
      <c r="B6" s="13" t="s">
        <v>376</v>
      </c>
      <c r="C6" s="61" t="n">
        <v>525479693804</v>
      </c>
      <c r="D6" s="61" t="n">
        <v>542400475238</v>
      </c>
      <c r="E6" s="61" t="n">
        <v>533208033479</v>
      </c>
      <c r="F6" s="61" t="n">
        <v>525762948837</v>
      </c>
      <c r="G6" s="61" t="n">
        <v>449069663731</v>
      </c>
      <c r="H6" s="61" t="n">
        <v>420204094763</v>
      </c>
      <c r="I6" s="15" t="s">
        <v>700</v>
      </c>
    </row>
    <row r="7" customFormat="false" ht="15" hidden="false" customHeight="false" outlineLevel="0" collapsed="false">
      <c r="A7" s="54" t="s">
        <v>701</v>
      </c>
      <c r="B7" s="13" t="s">
        <v>702</v>
      </c>
      <c r="C7" s="61" t="n">
        <v>200000000000</v>
      </c>
      <c r="D7" s="61" t="n">
        <v>650000000000</v>
      </c>
      <c r="E7" s="61" t="n">
        <v>320000000000</v>
      </c>
      <c r="F7" s="61" t="n">
        <v>229000000000</v>
      </c>
      <c r="G7" s="61" t="n">
        <v>43000000000</v>
      </c>
      <c r="H7" s="61" t="n">
        <v>50500000000</v>
      </c>
      <c r="I7" s="15" t="s">
        <v>703</v>
      </c>
    </row>
    <row r="8" customFormat="false" ht="15" hidden="false" customHeight="false" outlineLevel="0" collapsed="false">
      <c r="A8" s="54" t="s">
        <v>704</v>
      </c>
      <c r="B8" s="13" t="s">
        <v>705</v>
      </c>
      <c r="C8" s="61" t="n">
        <v>46315632063</v>
      </c>
      <c r="D8" s="61" t="n">
        <v>43418562083</v>
      </c>
      <c r="E8" s="61" t="n">
        <v>19493922195</v>
      </c>
      <c r="F8" s="61" t="n">
        <v>29762970115</v>
      </c>
      <c r="G8" s="61" t="n">
        <v>39287099946</v>
      </c>
      <c r="H8" s="61" t="n">
        <v>32414715751</v>
      </c>
      <c r="I8" s="15" t="s">
        <v>706</v>
      </c>
    </row>
    <row r="9" customFormat="false" ht="15" hidden="false" customHeight="false" outlineLevel="0" collapsed="false">
      <c r="A9" s="54" t="s">
        <v>707</v>
      </c>
      <c r="B9" s="13" t="s">
        <v>708</v>
      </c>
      <c r="C9" s="61" t="n">
        <v>17731873</v>
      </c>
      <c r="D9" s="61" t="n">
        <v>7668632882</v>
      </c>
      <c r="E9" s="61" t="n">
        <v>340953590</v>
      </c>
      <c r="F9" s="61" t="n">
        <v>433676044</v>
      </c>
      <c r="G9" s="61" t="n">
        <v>224662236</v>
      </c>
      <c r="H9" s="61" t="n">
        <v>85820156</v>
      </c>
      <c r="I9" s="15" t="s">
        <v>709</v>
      </c>
    </row>
    <row r="10" customFormat="false" ht="15" hidden="false" customHeight="false" outlineLevel="0" collapsed="false">
      <c r="A10" s="54" t="s">
        <v>710</v>
      </c>
      <c r="B10" s="13" t="s">
        <v>381</v>
      </c>
      <c r="C10" s="61" t="n">
        <v>6868279382</v>
      </c>
      <c r="D10" s="61" t="n">
        <v>6128999612</v>
      </c>
      <c r="E10" s="61" t="n">
        <v>3810165323</v>
      </c>
      <c r="F10" s="61" t="n">
        <v>4778420963</v>
      </c>
      <c r="G10" s="61" t="n">
        <v>6268091785</v>
      </c>
      <c r="H10" s="61" t="n">
        <v>5344682837</v>
      </c>
      <c r="I10" s="15" t="s">
        <v>711</v>
      </c>
    </row>
    <row r="11" customFormat="false" ht="15" hidden="false" customHeight="false" outlineLevel="0" collapsed="false">
      <c r="A11" s="54" t="s">
        <v>712</v>
      </c>
      <c r="B11" s="13" t="s">
        <v>713</v>
      </c>
      <c r="C11" s="61" t="n">
        <v>1182138238</v>
      </c>
      <c r="D11" s="61" t="n">
        <v>1754631182</v>
      </c>
      <c r="E11" s="61" t="n">
        <v>2084307178</v>
      </c>
      <c r="F11" s="61" t="n">
        <v>2986519826</v>
      </c>
      <c r="G11" s="61" t="n">
        <v>3851470413</v>
      </c>
      <c r="H11" s="61" t="n">
        <v>5159594606</v>
      </c>
      <c r="I11" s="15" t="s">
        <v>714</v>
      </c>
    </row>
    <row r="12" customFormat="false" ht="15" hidden="false" customHeight="false" outlineLevel="0" collapsed="false">
      <c r="A12" s="54" t="s">
        <v>715</v>
      </c>
      <c r="B12" s="13" t="s">
        <v>716</v>
      </c>
      <c r="C12" s="61"/>
      <c r="D12" s="61" t="n">
        <v>1118956971</v>
      </c>
      <c r="E12" s="61" t="n">
        <v>1406842329</v>
      </c>
      <c r="F12" s="61" t="n">
        <v>912381292</v>
      </c>
      <c r="G12" s="61" t="n">
        <v>287577361</v>
      </c>
      <c r="H12" s="61" t="n">
        <v>168458214</v>
      </c>
      <c r="I12" s="15" t="s">
        <v>717</v>
      </c>
    </row>
    <row r="13" customFormat="false" ht="15" hidden="false" customHeight="false" outlineLevel="0" collapsed="false">
      <c r="A13" s="54" t="s">
        <v>718</v>
      </c>
      <c r="B13" s="13" t="s">
        <v>719</v>
      </c>
      <c r="C13" s="61"/>
      <c r="D13" s="61" t="n">
        <v>1770788841</v>
      </c>
      <c r="E13" s="61" t="n">
        <v>1278259408</v>
      </c>
      <c r="F13" s="61" t="n">
        <v>882555505</v>
      </c>
      <c r="G13" s="61" t="n">
        <v>1327674901</v>
      </c>
      <c r="H13" s="61" t="n">
        <v>39617692</v>
      </c>
      <c r="I13" s="15" t="s">
        <v>720</v>
      </c>
    </row>
    <row r="14" customFormat="false" ht="15" hidden="false" customHeight="false" outlineLevel="0" collapsed="false">
      <c r="A14" s="54" t="s">
        <v>721</v>
      </c>
      <c r="B14" s="13" t="s">
        <v>383</v>
      </c>
      <c r="C14" s="61" t="n">
        <v>1989727315</v>
      </c>
      <c r="D14" s="61"/>
      <c r="E14" s="61"/>
      <c r="F14" s="61"/>
      <c r="G14" s="61"/>
      <c r="H14" s="61"/>
      <c r="I14" s="15" t="s">
        <v>722</v>
      </c>
    </row>
    <row r="15" customFormat="false" ht="15" hidden="false" customHeight="false" outlineLevel="0" collapsed="false">
      <c r="A15" s="64" t="s">
        <v>723</v>
      </c>
      <c r="B15" s="65" t="s">
        <v>386</v>
      </c>
      <c r="C15" s="67" t="n">
        <f aca="false">C6+C7+C8+C9+C10+C11+C12+C13+C14</f>
        <v>781853202675</v>
      </c>
      <c r="D15" s="67" t="n">
        <f aca="false">D6+D7+D8+D9+D10+D11+D12+D13+D14</f>
        <v>1254261046809</v>
      </c>
      <c r="E15" s="67" t="n">
        <f aca="false">E6+E7+E8+E9+E10+E11+E12+E13+E14</f>
        <v>881622483502</v>
      </c>
      <c r="F15" s="67" t="n">
        <f aca="false">F6+F7+F8+F9+F10+F11+F12+F13+F14</f>
        <v>794519472582</v>
      </c>
      <c r="G15" s="67" t="n">
        <f aca="false">G6+G7+G8+G9+G10+G11+G12+G13+G14</f>
        <v>543316240373</v>
      </c>
      <c r="H15" s="67" t="n">
        <f aca="false">H6+H7+H8+H9+H10+H11+H12+H13+H14</f>
        <v>513916984019</v>
      </c>
    </row>
    <row r="16" customFormat="false" ht="15" hidden="false" customHeight="false" outlineLevel="0" collapsed="false">
      <c r="A16" s="54" t="s">
        <v>724</v>
      </c>
      <c r="B16" s="13" t="s">
        <v>388</v>
      </c>
      <c r="C16" s="61" t="n">
        <v>2175317280881</v>
      </c>
      <c r="D16" s="61" t="n">
        <v>2915791008035</v>
      </c>
      <c r="E16" s="61" t="n">
        <v>3337354211724</v>
      </c>
      <c r="F16" s="61" t="n">
        <v>3330399614118</v>
      </c>
      <c r="G16" s="61" t="n">
        <v>3257425244004</v>
      </c>
      <c r="H16" s="61" t="n">
        <v>3272592245462</v>
      </c>
      <c r="I16" s="15" t="s">
        <v>725</v>
      </c>
    </row>
    <row r="17" customFormat="false" ht="15" hidden="false" customHeight="false" outlineLevel="0" collapsed="false">
      <c r="A17" s="54" t="s">
        <v>726</v>
      </c>
      <c r="B17" s="13" t="s">
        <v>390</v>
      </c>
      <c r="C17" s="61" t="n">
        <v>7024470936</v>
      </c>
      <c r="D17" s="61" t="n">
        <v>6971681464</v>
      </c>
      <c r="E17" s="61" t="n">
        <v>6971681464</v>
      </c>
      <c r="F17" s="61" t="n">
        <v>6971681464</v>
      </c>
      <c r="G17" s="61" t="n">
        <v>0</v>
      </c>
      <c r="H17" s="61"/>
      <c r="I17" s="15" t="s">
        <v>727</v>
      </c>
    </row>
    <row r="18" customFormat="false" ht="15" hidden="false" customHeight="false" outlineLevel="0" collapsed="false">
      <c r="A18" s="54" t="s">
        <v>728</v>
      </c>
      <c r="B18" s="13" t="s">
        <v>729</v>
      </c>
      <c r="C18" s="61" t="n">
        <v>1969259816</v>
      </c>
      <c r="D18" s="61" t="n">
        <v>6097463738</v>
      </c>
      <c r="E18" s="61" t="n">
        <v>2251911265</v>
      </c>
      <c r="F18" s="61" t="n">
        <v>1365138297</v>
      </c>
      <c r="G18" s="61" t="n">
        <v>1153962483</v>
      </c>
      <c r="H18" s="61" t="n">
        <v>1313984823</v>
      </c>
      <c r="I18" s="15" t="s">
        <v>730</v>
      </c>
    </row>
    <row r="19" customFormat="false" ht="15" hidden="false" customHeight="false" outlineLevel="0" collapsed="false">
      <c r="A19" s="54" t="s">
        <v>731</v>
      </c>
      <c r="B19" s="13" t="s">
        <v>732</v>
      </c>
      <c r="C19" s="61" t="n">
        <v>479507049845</v>
      </c>
      <c r="D19" s="61" t="n">
        <v>28090602212</v>
      </c>
      <c r="E19" s="61" t="n">
        <v>6420844457</v>
      </c>
      <c r="F19" s="61" t="n">
        <v>3750351252</v>
      </c>
      <c r="G19" s="61" t="n">
        <v>219209965524</v>
      </c>
      <c r="H19" s="61" t="n">
        <v>388105716461</v>
      </c>
      <c r="I19" s="15" t="s">
        <v>733</v>
      </c>
    </row>
    <row r="20" customFormat="false" ht="15" hidden="false" customHeight="false" outlineLevel="0" collapsed="false">
      <c r="A20" s="64" t="s">
        <v>734</v>
      </c>
      <c r="B20" s="65" t="s">
        <v>395</v>
      </c>
      <c r="C20" s="67" t="n">
        <f aca="false">C16+C17+C18+C19</f>
        <v>2663818061478</v>
      </c>
      <c r="D20" s="67" t="n">
        <f aca="false">D16+D17+D18+D19</f>
        <v>2956950755449</v>
      </c>
      <c r="E20" s="67" t="n">
        <f aca="false">E16+E17+E18+E19</f>
        <v>3352998648910</v>
      </c>
      <c r="F20" s="67" t="n">
        <f aca="false">F16+F17+F18+F19</f>
        <v>3342486785131</v>
      </c>
      <c r="G20" s="67" t="n">
        <f aca="false">G16+G17+G18+G19</f>
        <v>3477789172011</v>
      </c>
      <c r="H20" s="67" t="n">
        <f aca="false">H16+H17+H18+H19</f>
        <v>3662011946746</v>
      </c>
    </row>
    <row r="21" customFormat="false" ht="15" hidden="false" customHeight="false" outlineLevel="0" collapsed="false">
      <c r="A21" s="64" t="s">
        <v>735</v>
      </c>
      <c r="B21" s="65" t="s">
        <v>397</v>
      </c>
      <c r="C21" s="67" t="n">
        <f aca="false">C15+C20</f>
        <v>3445671264153</v>
      </c>
      <c r="D21" s="67" t="n">
        <f aca="false">D15+D20</f>
        <v>4211211802258</v>
      </c>
      <c r="E21" s="67" t="n">
        <f aca="false">E15+E20</f>
        <v>4234621132412</v>
      </c>
      <c r="F21" s="67" t="n">
        <f aca="false">F15+F20</f>
        <v>4137006257713</v>
      </c>
      <c r="G21" s="67" t="n">
        <f aca="false">G15+G20</f>
        <v>4021105412384</v>
      </c>
      <c r="H21" s="67" t="n">
        <f aca="false">H15+H20</f>
        <v>4175928930765</v>
      </c>
    </row>
    <row r="22" customFormat="false" ht="15" hidden="false" customHeight="false" outlineLevel="0" collapsed="false">
      <c r="A22" s="16"/>
      <c r="B22" s="17" t="s">
        <v>398</v>
      </c>
      <c r="C22" s="16"/>
      <c r="D22" s="16"/>
      <c r="E22" s="16"/>
      <c r="F22" s="16"/>
      <c r="G22" s="16"/>
      <c r="H22" s="16"/>
      <c r="I22" s="16"/>
    </row>
    <row r="23" customFormat="false" ht="15" hidden="false" customHeight="false" outlineLevel="0" collapsed="false">
      <c r="A23" s="54" t="s">
        <v>736</v>
      </c>
      <c r="B23" s="13" t="s">
        <v>737</v>
      </c>
      <c r="C23" s="61" t="n">
        <v>12963780723</v>
      </c>
      <c r="D23" s="61" t="n">
        <v>2991703325</v>
      </c>
      <c r="E23" s="61" t="n">
        <v>129665344429</v>
      </c>
      <c r="F23" s="61" t="n">
        <v>141562028547</v>
      </c>
      <c r="G23" s="61" t="n">
        <v>784583691204</v>
      </c>
      <c r="H23" s="61" t="n">
        <v>14999351279</v>
      </c>
      <c r="I23" s="15" t="s">
        <v>738</v>
      </c>
    </row>
    <row r="24" customFormat="false" ht="15" hidden="false" customHeight="false" outlineLevel="0" collapsed="false">
      <c r="A24" s="54" t="s">
        <v>739</v>
      </c>
      <c r="B24" s="13" t="s">
        <v>400</v>
      </c>
      <c r="C24" s="61" t="n">
        <v>10821912088</v>
      </c>
      <c r="D24" s="61" t="n">
        <v>14656750351</v>
      </c>
      <c r="E24" s="61" t="n">
        <v>26875586517</v>
      </c>
      <c r="F24" s="61" t="n">
        <v>42532889111</v>
      </c>
      <c r="G24" s="61" t="n">
        <v>25121215698</v>
      </c>
      <c r="H24" s="61" t="n">
        <v>21151058333</v>
      </c>
      <c r="I24" s="15" t="s">
        <v>740</v>
      </c>
    </row>
    <row r="25" customFormat="false" ht="15" hidden="false" customHeight="false" outlineLevel="0" collapsed="false">
      <c r="A25" s="54" t="s">
        <v>741</v>
      </c>
      <c r="B25" s="13" t="s">
        <v>742</v>
      </c>
      <c r="C25" s="61" t="n">
        <v>1054065771</v>
      </c>
      <c r="D25" s="61" t="n">
        <v>13910668126</v>
      </c>
      <c r="E25" s="61" t="n">
        <v>118942040</v>
      </c>
      <c r="F25" s="61" t="n">
        <v>101870631</v>
      </c>
      <c r="G25" s="61" t="n">
        <v>110965776</v>
      </c>
      <c r="H25" s="61" t="n">
        <v>165705249</v>
      </c>
      <c r="I25" s="15" t="s">
        <v>743</v>
      </c>
    </row>
    <row r="26" customFormat="false" ht="15" hidden="false" customHeight="false" outlineLevel="0" collapsed="false">
      <c r="A26" s="54" t="s">
        <v>744</v>
      </c>
      <c r="B26" s="13" t="s">
        <v>745</v>
      </c>
      <c r="C26" s="61" t="n">
        <v>5582268383</v>
      </c>
      <c r="D26" s="61" t="n">
        <v>8348663320</v>
      </c>
      <c r="E26" s="61" t="n">
        <v>3984780507</v>
      </c>
      <c r="F26" s="61" t="n">
        <v>7415860622</v>
      </c>
      <c r="G26" s="61" t="n">
        <v>5076025035</v>
      </c>
      <c r="H26" s="61" t="n">
        <v>4047417382</v>
      </c>
      <c r="I26" s="15" t="s">
        <v>746</v>
      </c>
    </row>
    <row r="27" customFormat="false" ht="15" hidden="false" customHeight="false" outlineLevel="0" collapsed="false">
      <c r="A27" s="54" t="s">
        <v>747</v>
      </c>
      <c r="B27" s="13" t="s">
        <v>748</v>
      </c>
      <c r="C27" s="61" t="n">
        <v>10505015865</v>
      </c>
      <c r="D27" s="61" t="n">
        <v>20900956080</v>
      </c>
      <c r="E27" s="61" t="n">
        <v>30291824799</v>
      </c>
      <c r="F27" s="61" t="n">
        <v>25368291439</v>
      </c>
      <c r="G27" s="61" t="n">
        <v>19281565827</v>
      </c>
      <c r="H27" s="61" t="n">
        <v>33642337482</v>
      </c>
      <c r="I27" s="15" t="s">
        <v>749</v>
      </c>
    </row>
    <row r="28" customFormat="false" ht="15" hidden="false" customHeight="false" outlineLevel="0" collapsed="false">
      <c r="A28" s="54" t="s">
        <v>750</v>
      </c>
      <c r="B28" s="13" t="s">
        <v>751</v>
      </c>
      <c r="C28" s="61"/>
      <c r="D28" s="61" t="n">
        <v>225567741</v>
      </c>
      <c r="E28" s="61" t="n">
        <v>923705000</v>
      </c>
      <c r="F28" s="61" t="n">
        <v>765095206</v>
      </c>
      <c r="G28" s="61" t="n">
        <v>474503141</v>
      </c>
      <c r="H28" s="61" t="n">
        <v>317960517</v>
      </c>
      <c r="I28" s="15" t="s">
        <v>752</v>
      </c>
    </row>
    <row r="29" customFormat="false" ht="15" hidden="false" customHeight="false" outlineLevel="0" collapsed="false">
      <c r="A29" s="54" t="s">
        <v>753</v>
      </c>
      <c r="B29" s="13" t="s">
        <v>754</v>
      </c>
      <c r="C29" s="61"/>
      <c r="D29" s="61" t="n">
        <v>1242431381</v>
      </c>
      <c r="E29" s="61" t="n">
        <v>1470305253</v>
      </c>
      <c r="F29" s="61" t="n">
        <v>2607723880</v>
      </c>
      <c r="G29" s="61" t="n">
        <v>1761006332</v>
      </c>
      <c r="H29" s="61" t="n">
        <v>1435919928</v>
      </c>
      <c r="I29" s="15" t="s">
        <v>755</v>
      </c>
    </row>
    <row r="30" customFormat="false" ht="15" hidden="false" customHeight="false" outlineLevel="0" collapsed="false">
      <c r="A30" s="54" t="s">
        <v>756</v>
      </c>
      <c r="B30" s="13" t="s">
        <v>757</v>
      </c>
      <c r="C30" s="61" t="n">
        <v>7502028558</v>
      </c>
      <c r="D30" s="61" t="n">
        <v>8275268737</v>
      </c>
      <c r="E30" s="61" t="n">
        <v>4356691244</v>
      </c>
      <c r="F30" s="61" t="n">
        <v>6804272871</v>
      </c>
      <c r="G30" s="61" t="n">
        <v>9363311221</v>
      </c>
      <c r="H30" s="61" t="n">
        <v>17208650114</v>
      </c>
      <c r="I30" s="15" t="s">
        <v>758</v>
      </c>
    </row>
    <row r="31" customFormat="false" ht="15" hidden="false" customHeight="false" outlineLevel="0" collapsed="false">
      <c r="A31" s="54" t="s">
        <v>759</v>
      </c>
      <c r="B31" s="13" t="s">
        <v>760</v>
      </c>
      <c r="C31" s="61"/>
      <c r="D31" s="61" t="n">
        <v>7107214914</v>
      </c>
      <c r="E31" s="61" t="n">
        <v>15315140959</v>
      </c>
      <c r="F31" s="61" t="n">
        <v>27060733465</v>
      </c>
      <c r="G31" s="61" t="n">
        <v>28284448216</v>
      </c>
      <c r="H31" s="61" t="n">
        <v>21804949777</v>
      </c>
      <c r="I31" s="15" t="s">
        <v>761</v>
      </c>
    </row>
    <row r="32" customFormat="false" ht="15" hidden="false" customHeight="false" outlineLevel="0" collapsed="false">
      <c r="A32" s="54" t="s">
        <v>762</v>
      </c>
      <c r="B32" s="13" t="s">
        <v>763</v>
      </c>
      <c r="C32" s="61"/>
      <c r="D32" s="61"/>
      <c r="E32" s="61"/>
      <c r="F32" s="61" t="n">
        <v>649428474637</v>
      </c>
      <c r="G32" s="61" t="n">
        <v>0</v>
      </c>
      <c r="H32" s="61" t="n">
        <v>499148560875</v>
      </c>
      <c r="I32" s="15" t="s">
        <v>764</v>
      </c>
    </row>
    <row r="33" customFormat="false" ht="15" hidden="false" customHeight="false" outlineLevel="0" collapsed="false">
      <c r="A33" s="64" t="s">
        <v>765</v>
      </c>
      <c r="B33" s="65" t="s">
        <v>766</v>
      </c>
      <c r="C33" s="67" t="n">
        <f aca="false">C23+C24+C25+C26+C27+C28+C29+C30+C31+C32</f>
        <v>48429071388</v>
      </c>
      <c r="D33" s="67" t="n">
        <f aca="false">D23+D24+D25+D26+D27+D28+D29+D30+D31+D32</f>
        <v>77659223975</v>
      </c>
      <c r="E33" s="67" t="n">
        <f aca="false">E23+E24+E25+E26+E27+E28+E29+E30+E31+E32</f>
        <v>213002320748</v>
      </c>
      <c r="F33" s="67" t="n">
        <f aca="false">F23+F24+F25+F26+F27+F28+F29+F30+F31+F32</f>
        <v>903647240409</v>
      </c>
      <c r="G33" s="67" t="n">
        <f aca="false">G23+G24+G25+G26+G27+G28+G29+G30+G31+G32</f>
        <v>874056732450</v>
      </c>
      <c r="H33" s="67" t="n">
        <f aca="false">H23+H24+H25+H26+H27+H28+H29+H30+H31+H32</f>
        <v>613921910936</v>
      </c>
    </row>
    <row r="34" customFormat="false" ht="15" hidden="false" customHeight="false" outlineLevel="0" collapsed="false">
      <c r="A34" s="54" t="s">
        <v>767</v>
      </c>
      <c r="B34" s="13" t="s">
        <v>768</v>
      </c>
      <c r="C34" s="61" t="n">
        <v>95696931589</v>
      </c>
      <c r="D34" s="61" t="n">
        <v>87421662853</v>
      </c>
      <c r="E34" s="61" t="n">
        <v>84205352315</v>
      </c>
      <c r="F34" s="61" t="n">
        <v>82192016943</v>
      </c>
      <c r="G34" s="61" t="n">
        <v>73084588828</v>
      </c>
      <c r="H34" s="61" t="n">
        <v>279437460767</v>
      </c>
      <c r="I34" s="15" t="s">
        <v>769</v>
      </c>
    </row>
    <row r="35" customFormat="false" ht="15" hidden="false" customHeight="false" outlineLevel="0" collapsed="false">
      <c r="A35" s="54" t="s">
        <v>770</v>
      </c>
      <c r="B35" s="13" t="s">
        <v>771</v>
      </c>
      <c r="C35" s="61"/>
      <c r="D35" s="61" t="n">
        <v>90042541090</v>
      </c>
      <c r="E35" s="61" t="n">
        <v>74727400131</v>
      </c>
      <c r="F35" s="61" t="n">
        <v>47466666666</v>
      </c>
      <c r="G35" s="61" t="n">
        <v>49150559743</v>
      </c>
      <c r="H35" s="61" t="n">
        <v>1330269852</v>
      </c>
      <c r="I35" s="15" t="s">
        <v>772</v>
      </c>
    </row>
    <row r="36" customFormat="false" ht="15" hidden="false" customHeight="false" outlineLevel="0" collapsed="false">
      <c r="A36" s="54" t="s">
        <v>773</v>
      </c>
      <c r="B36" s="13" t="s">
        <v>774</v>
      </c>
      <c r="C36" s="61"/>
      <c r="D36" s="61" t="n">
        <v>648225425171</v>
      </c>
      <c r="E36" s="61" t="n">
        <v>648767367569</v>
      </c>
      <c r="F36" s="61" t="n">
        <v>0</v>
      </c>
      <c r="G36" s="61"/>
      <c r="H36" s="61" t="n">
        <v>249705786908</v>
      </c>
      <c r="I36" s="15" t="s">
        <v>775</v>
      </c>
    </row>
    <row r="37" customFormat="false" ht="15" hidden="false" customHeight="false" outlineLevel="0" collapsed="false">
      <c r="A37" s="54" t="s">
        <v>776</v>
      </c>
      <c r="B37" s="13" t="s">
        <v>777</v>
      </c>
      <c r="C37" s="61" t="n">
        <v>10787821920</v>
      </c>
      <c r="D37" s="61" t="n">
        <v>9595105332</v>
      </c>
      <c r="E37" s="61" t="n">
        <v>6625105384</v>
      </c>
      <c r="F37" s="61" t="n">
        <v>5413792415</v>
      </c>
      <c r="G37" s="61" t="n">
        <v>5316132909</v>
      </c>
      <c r="H37" s="61" t="n">
        <v>6978678157</v>
      </c>
      <c r="I37" s="15" t="s">
        <v>778</v>
      </c>
    </row>
    <row r="38" customFormat="false" ht="15" hidden="false" customHeight="false" outlineLevel="0" collapsed="false">
      <c r="A38" s="54" t="s">
        <v>779</v>
      </c>
      <c r="B38" s="13" t="s">
        <v>780</v>
      </c>
      <c r="C38" s="61"/>
      <c r="D38" s="61" t="n">
        <v>0</v>
      </c>
      <c r="E38" s="61" t="n">
        <v>401783743</v>
      </c>
      <c r="F38" s="61" t="n">
        <v>562533279</v>
      </c>
      <c r="G38" s="61" t="n">
        <v>1110561726</v>
      </c>
      <c r="H38" s="61" t="n">
        <v>699313037</v>
      </c>
      <c r="I38" s="15" t="s">
        <v>781</v>
      </c>
    </row>
    <row r="39" customFormat="false" ht="15" hidden="false" customHeight="false" outlineLevel="0" collapsed="false">
      <c r="A39" s="64" t="s">
        <v>782</v>
      </c>
      <c r="B39" s="65" t="s">
        <v>783</v>
      </c>
      <c r="C39" s="67" t="n">
        <f aca="false">C34+C35+C36+C37+C38</f>
        <v>106484753509</v>
      </c>
      <c r="D39" s="67" t="n">
        <f aca="false">D34+D35+D36+D37+D38</f>
        <v>835284734446</v>
      </c>
      <c r="E39" s="67" t="n">
        <f aca="false">E34+E35+E36+E37+E38</f>
        <v>814727009142</v>
      </c>
      <c r="F39" s="67" t="n">
        <f aca="false">F34+F35+F36+F37+F38</f>
        <v>135635009303</v>
      </c>
      <c r="G39" s="67" t="n">
        <f aca="false">G34+G35+G36+G37+G38</f>
        <v>128661843206</v>
      </c>
      <c r="H39" s="67" t="n">
        <f aca="false">H34+H35+H36+H37+H38</f>
        <v>538151508721</v>
      </c>
    </row>
    <row r="40" customFormat="false" ht="15" hidden="false" customHeight="false" outlineLevel="0" collapsed="false">
      <c r="A40" s="64" t="s">
        <v>784</v>
      </c>
      <c r="B40" s="65" t="s">
        <v>409</v>
      </c>
      <c r="C40" s="67" t="n">
        <f aca="false">C33+C39</f>
        <v>154913824897</v>
      </c>
      <c r="D40" s="67" t="n">
        <f aca="false">D33+D39</f>
        <v>912943958421</v>
      </c>
      <c r="E40" s="67" t="n">
        <f aca="false">E33+E39</f>
        <v>1027729329890</v>
      </c>
      <c r="F40" s="67" t="n">
        <f aca="false">F33+F39</f>
        <v>1039282249712</v>
      </c>
      <c r="G40" s="67" t="n">
        <f aca="false">G33+G39</f>
        <v>1002718575656</v>
      </c>
      <c r="H40" s="67" t="n">
        <f aca="false">H33+H39</f>
        <v>1152073419657</v>
      </c>
    </row>
    <row r="41" customFormat="false" ht="15" hidden="false" customHeight="false" outlineLevel="0" collapsed="false">
      <c r="A41" s="16"/>
      <c r="B41" s="17" t="s">
        <v>410</v>
      </c>
      <c r="C41" s="16"/>
      <c r="D41" s="16"/>
      <c r="E41" s="16"/>
      <c r="F41" s="16"/>
      <c r="G41" s="16"/>
      <c r="H41" s="16"/>
      <c r="I41" s="16"/>
    </row>
    <row r="42" customFormat="false" ht="15" hidden="false" customHeight="false" outlineLevel="0" collapsed="false">
      <c r="A42" s="54" t="s">
        <v>785</v>
      </c>
      <c r="B42" s="13" t="s">
        <v>786</v>
      </c>
      <c r="C42" s="61" t="n">
        <v>3325000000000</v>
      </c>
      <c r="D42" s="61" t="n">
        <v>3325000000000</v>
      </c>
      <c r="E42" s="61" t="n">
        <v>3325000000000</v>
      </c>
      <c r="F42" s="61" t="n">
        <v>3325000000000</v>
      </c>
      <c r="G42" s="61" t="n">
        <v>3325000000000</v>
      </c>
      <c r="H42" s="61" t="n">
        <v>3325000000000</v>
      </c>
      <c r="I42" s="15" t="s">
        <v>787</v>
      </c>
    </row>
    <row r="43" customFormat="false" ht="15" hidden="false" customHeight="false" outlineLevel="0" collapsed="false">
      <c r="A43" s="54" t="s">
        <v>788</v>
      </c>
      <c r="B43" s="13" t="s">
        <v>789</v>
      </c>
      <c r="C43" s="61" t="n">
        <v>3284159332</v>
      </c>
      <c r="D43" s="61" t="n">
        <v>3284159332</v>
      </c>
      <c r="E43" s="61" t="n">
        <v>3284159332</v>
      </c>
      <c r="F43" s="61" t="n">
        <v>3284159332</v>
      </c>
      <c r="G43" s="61" t="n">
        <v>3284159332</v>
      </c>
      <c r="H43" s="61" t="n">
        <v>3284159332</v>
      </c>
      <c r="I43" s="15" t="s">
        <v>790</v>
      </c>
    </row>
    <row r="44" customFormat="false" ht="15" hidden="false" customHeight="false" outlineLevel="0" collapsed="false">
      <c r="A44" s="54" t="s">
        <v>791</v>
      </c>
      <c r="B44" s="13" t="s">
        <v>792</v>
      </c>
      <c r="C44" s="61" t="n">
        <v>-38449339396</v>
      </c>
      <c r="D44" s="61" t="n">
        <v>-31033031403</v>
      </c>
      <c r="E44" s="61" t="n">
        <v>-122376092871</v>
      </c>
      <c r="F44" s="61" t="n">
        <v>-231784665472</v>
      </c>
      <c r="G44" s="61" t="n">
        <v>-311516892081</v>
      </c>
      <c r="H44" s="61" t="n">
        <v>-306241065514</v>
      </c>
      <c r="I44" s="15" t="s">
        <v>793</v>
      </c>
    </row>
    <row r="45" customFormat="false" ht="15" hidden="false" customHeight="false" outlineLevel="0" collapsed="false">
      <c r="A45" s="64" t="s">
        <v>794</v>
      </c>
      <c r="B45" s="65" t="s">
        <v>416</v>
      </c>
      <c r="C45" s="67" t="n">
        <f aca="false">C42+C43+C44</f>
        <v>3289834819936</v>
      </c>
      <c r="D45" s="67" t="n">
        <f aca="false">D42+D43+D44</f>
        <v>3297251127929</v>
      </c>
      <c r="E45" s="67" t="n">
        <f aca="false">E42+E43+E44</f>
        <v>3205908066461</v>
      </c>
      <c r="F45" s="67" t="n">
        <f aca="false">F42+F43+F44</f>
        <v>3096499493860</v>
      </c>
      <c r="G45" s="67" t="n">
        <f aca="false">G42+G43+G44</f>
        <v>3016767267251</v>
      </c>
      <c r="H45" s="67" t="n">
        <f aca="false">H42+H43+H44</f>
        <v>3022043093818</v>
      </c>
    </row>
    <row r="46" customFormat="false" ht="15" hidden="false" customHeight="false" outlineLevel="0" collapsed="false">
      <c r="A46" s="54" t="s">
        <v>795</v>
      </c>
      <c r="B46" s="13" t="s">
        <v>418</v>
      </c>
      <c r="C46" s="61" t="n">
        <v>922619320</v>
      </c>
      <c r="D46" s="61" t="n">
        <v>1016715908</v>
      </c>
      <c r="E46" s="61" t="n">
        <v>983736061</v>
      </c>
      <c r="F46" s="61" t="n">
        <v>1224514141</v>
      </c>
      <c r="G46" s="61" t="n">
        <v>1619569477</v>
      </c>
      <c r="H46" s="61" t="n">
        <v>1812417290</v>
      </c>
      <c r="I46" s="15" t="s">
        <v>796</v>
      </c>
    </row>
    <row r="47" customFormat="false" ht="15" hidden="false" customHeight="false" outlineLevel="0" collapsed="false">
      <c r="A47" s="64" t="s">
        <v>797</v>
      </c>
      <c r="B47" s="65" t="s">
        <v>421</v>
      </c>
      <c r="C47" s="67" t="n">
        <f aca="false">C45+C46</f>
        <v>3290757439256</v>
      </c>
      <c r="D47" s="67" t="n">
        <f aca="false">D45+D46</f>
        <v>3298267843837</v>
      </c>
      <c r="E47" s="67" t="n">
        <f aca="false">E45+E46</f>
        <v>3206891802522</v>
      </c>
      <c r="F47" s="67" t="n">
        <f aca="false">F45+F46</f>
        <v>3097724008001</v>
      </c>
      <c r="G47" s="67" t="n">
        <f aca="false">G45+G46</f>
        <v>3018386836728</v>
      </c>
      <c r="H47" s="67" t="n">
        <f aca="false">H45+H46</f>
        <v>3023855511108</v>
      </c>
    </row>
    <row r="48" customFormat="false" ht="15" hidden="false" customHeight="false" outlineLevel="0" collapsed="false">
      <c r="A48" s="64" t="s">
        <v>798</v>
      </c>
      <c r="B48" s="65" t="s">
        <v>423</v>
      </c>
      <c r="C48" s="67" t="n">
        <f aca="false">C40+C47</f>
        <v>3445671264153</v>
      </c>
      <c r="D48" s="67" t="n">
        <f aca="false">D40+D47</f>
        <v>4211211802258</v>
      </c>
      <c r="E48" s="67" t="n">
        <f aca="false">E40+E47</f>
        <v>4234621132412</v>
      </c>
      <c r="F48" s="67" t="n">
        <f aca="false">F40+F47</f>
        <v>4137006257713</v>
      </c>
      <c r="G48" s="67" t="n">
        <f aca="false">G40+G47</f>
        <v>4021105412384</v>
      </c>
      <c r="H48" s="67" t="n">
        <f aca="false">H40+H47</f>
        <v>4175928930765</v>
      </c>
    </row>
    <row r="49" customFormat="false" ht="15" hidden="false" customHeight="false" outlineLevel="0" collapsed="false">
      <c r="A49" s="16"/>
      <c r="B49" s="17" t="s">
        <v>799</v>
      </c>
      <c r="C49" s="16"/>
      <c r="D49" s="16"/>
      <c r="E49" s="16"/>
      <c r="F49" s="16"/>
      <c r="G49" s="16"/>
      <c r="H49" s="16"/>
      <c r="I49" s="16"/>
    </row>
    <row r="50" customFormat="false" ht="15" hidden="false" customHeight="false" outlineLevel="0" collapsed="false">
      <c r="A50" s="54" t="s">
        <v>800</v>
      </c>
      <c r="B50" s="13" t="s">
        <v>801</v>
      </c>
      <c r="C50" s="61" t="n">
        <v>781853202675</v>
      </c>
      <c r="D50" s="61" t="n">
        <v>1254261046809</v>
      </c>
      <c r="E50" s="61" t="n">
        <v>881622483502</v>
      </c>
      <c r="F50" s="61" t="n">
        <v>794519472582</v>
      </c>
      <c r="G50" s="61" t="n">
        <v>543316240373</v>
      </c>
      <c r="H50" s="61" t="n">
        <v>513916984019</v>
      </c>
      <c r="I50" s="15" t="s">
        <v>802</v>
      </c>
    </row>
    <row r="51" customFormat="false" ht="15" hidden="false" customHeight="false" outlineLevel="0" collapsed="false">
      <c r="A51" s="54" t="s">
        <v>803</v>
      </c>
      <c r="B51" s="13" t="s">
        <v>804</v>
      </c>
      <c r="C51" s="61" t="n">
        <v>2663818061478</v>
      </c>
      <c r="D51" s="61" t="n">
        <v>2956950755449</v>
      </c>
      <c r="E51" s="61" t="n">
        <v>3352998648910</v>
      </c>
      <c r="F51" s="61" t="n">
        <v>3342486785131</v>
      </c>
      <c r="G51" s="61" t="n">
        <v>3477789172011</v>
      </c>
      <c r="H51" s="61" t="n">
        <v>3662011946746</v>
      </c>
      <c r="I51" s="15" t="s">
        <v>805</v>
      </c>
    </row>
    <row r="52" customFormat="false" ht="15" hidden="false" customHeight="false" outlineLevel="0" collapsed="false">
      <c r="A52" s="54" t="s">
        <v>806</v>
      </c>
      <c r="B52" s="13" t="s">
        <v>807</v>
      </c>
      <c r="C52" s="61" t="n">
        <v>3445671264153</v>
      </c>
      <c r="D52" s="61" t="n">
        <v>4211211802258</v>
      </c>
      <c r="E52" s="61" t="n">
        <v>4234621132412</v>
      </c>
      <c r="F52" s="61" t="n">
        <v>4137006257713</v>
      </c>
      <c r="G52" s="61" t="n">
        <v>4021105412384</v>
      </c>
      <c r="H52" s="61" t="n">
        <v>4175928930765</v>
      </c>
      <c r="I52" s="15" t="s">
        <v>808</v>
      </c>
    </row>
    <row r="53" customFormat="false" ht="15" hidden="false" customHeight="false" outlineLevel="0" collapsed="false">
      <c r="A53" s="54" t="s">
        <v>809</v>
      </c>
      <c r="B53" s="13" t="s">
        <v>810</v>
      </c>
      <c r="C53" s="61" t="n">
        <v>48429071388</v>
      </c>
      <c r="D53" s="61" t="n">
        <v>77659223975</v>
      </c>
      <c r="E53" s="61" t="n">
        <v>213002320748</v>
      </c>
      <c r="F53" s="61" t="n">
        <v>903647240409</v>
      </c>
      <c r="G53" s="61" t="n">
        <v>874056732450</v>
      </c>
      <c r="H53" s="61" t="n">
        <v>613921910936</v>
      </c>
      <c r="I53" s="15" t="s">
        <v>811</v>
      </c>
    </row>
    <row r="54" customFormat="false" ht="15" hidden="false" customHeight="false" outlineLevel="0" collapsed="false">
      <c r="A54" s="54" t="s">
        <v>812</v>
      </c>
      <c r="B54" s="13" t="s">
        <v>813</v>
      </c>
      <c r="C54" s="61" t="n">
        <v>106484753509</v>
      </c>
      <c r="D54" s="61" t="n">
        <v>835284734446</v>
      </c>
      <c r="E54" s="61" t="n">
        <v>814727009142</v>
      </c>
      <c r="F54" s="61" t="n">
        <v>135635009303</v>
      </c>
      <c r="G54" s="61" t="n">
        <v>128661843206</v>
      </c>
      <c r="H54" s="61" t="n">
        <v>538151508721</v>
      </c>
      <c r="I54" s="15" t="s">
        <v>814</v>
      </c>
    </row>
    <row r="55" customFormat="false" ht="15" hidden="false" customHeight="false" outlineLevel="0" collapsed="false">
      <c r="A55" s="54" t="s">
        <v>815</v>
      </c>
      <c r="B55" s="13" t="s">
        <v>816</v>
      </c>
      <c r="C55" s="61" t="n">
        <v>154913824897</v>
      </c>
      <c r="D55" s="61" t="n">
        <v>912943958421</v>
      </c>
      <c r="E55" s="61" t="n">
        <v>1027729329890</v>
      </c>
      <c r="F55" s="61" t="n">
        <v>1039282249712</v>
      </c>
      <c r="G55" s="61" t="n">
        <v>1002718575656</v>
      </c>
      <c r="H55" s="61" t="n">
        <v>1152073419657</v>
      </c>
      <c r="I55" s="15" t="s">
        <v>817</v>
      </c>
    </row>
    <row r="56" customFormat="false" ht="15" hidden="false" customHeight="false" outlineLevel="0" collapsed="false">
      <c r="A56" s="54" t="s">
        <v>818</v>
      </c>
      <c r="B56" s="13" t="s">
        <v>819</v>
      </c>
      <c r="C56" s="61" t="n">
        <v>3289834819936</v>
      </c>
      <c r="D56" s="61" t="n">
        <v>3297251127929</v>
      </c>
      <c r="E56" s="61" t="n">
        <v>3205908066461</v>
      </c>
      <c r="F56" s="61" t="n">
        <v>3096499493860</v>
      </c>
      <c r="G56" s="61" t="n">
        <v>3016767267251</v>
      </c>
      <c r="H56" s="61" t="n">
        <v>3022043093818</v>
      </c>
      <c r="I56" s="15" t="s">
        <v>820</v>
      </c>
    </row>
    <row r="57" customFormat="false" ht="15" hidden="false" customHeight="false" outlineLevel="0" collapsed="false">
      <c r="A57" s="54" t="s">
        <v>821</v>
      </c>
      <c r="B57" s="13" t="s">
        <v>822</v>
      </c>
      <c r="C57" s="61" t="n">
        <v>3290757439256</v>
      </c>
      <c r="D57" s="61" t="n">
        <v>3298267843837</v>
      </c>
      <c r="E57" s="61" t="n">
        <v>3206891802522</v>
      </c>
      <c r="F57" s="61" t="n">
        <v>3097724008001</v>
      </c>
      <c r="G57" s="61" t="n">
        <v>3018386836728</v>
      </c>
      <c r="H57" s="61" t="n">
        <v>3023855511108</v>
      </c>
      <c r="I57" s="15" t="s">
        <v>823</v>
      </c>
    </row>
    <row r="58" customFormat="false" ht="15" hidden="false" customHeight="false" outlineLevel="0" collapsed="false">
      <c r="A58" s="54" t="s">
        <v>824</v>
      </c>
      <c r="B58" s="13" t="s">
        <v>825</v>
      </c>
      <c r="C58" s="61" t="n">
        <v>3445671264153</v>
      </c>
      <c r="D58" s="61" t="n">
        <v>4211211802258</v>
      </c>
      <c r="E58" s="61" t="n">
        <v>4234621132412</v>
      </c>
      <c r="F58" s="61" t="n">
        <v>4137006257713</v>
      </c>
      <c r="G58" s="61" t="n">
        <v>4021105412384</v>
      </c>
      <c r="H58" s="61" t="n">
        <v>4175928930765</v>
      </c>
      <c r="I58" s="15" t="s">
        <v>826</v>
      </c>
    </row>
    <row r="59" customFormat="false" ht="15" hidden="false" customHeight="false" outlineLevel="0" collapsed="false">
      <c r="A59" s="16"/>
      <c r="B59" s="17" t="s">
        <v>827</v>
      </c>
      <c r="C59" s="16"/>
      <c r="D59" s="16"/>
      <c r="E59" s="16"/>
      <c r="F59" s="16"/>
      <c r="G59" s="16"/>
      <c r="H59" s="16"/>
      <c r="I59" s="16"/>
    </row>
    <row r="60" customFormat="false" ht="15" hidden="false" customHeight="false" outlineLevel="0" collapsed="false">
      <c r="A60" s="64" t="s">
        <v>828</v>
      </c>
      <c r="B60" s="65" t="s">
        <v>829</v>
      </c>
      <c r="C60" s="67" t="n">
        <f aca="false">C21-C48</f>
        <v>0</v>
      </c>
      <c r="D60" s="67" t="n">
        <f aca="false">D21-D48</f>
        <v>0</v>
      </c>
      <c r="E60" s="67" t="n">
        <f aca="false">E21-E48</f>
        <v>0</v>
      </c>
      <c r="F60" s="67" t="n">
        <f aca="false">F21-F48</f>
        <v>0</v>
      </c>
      <c r="G60" s="67" t="n">
        <f aca="false">G21-G48</f>
        <v>0</v>
      </c>
      <c r="H60" s="67" t="n">
        <f aca="false">H21-H48</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830</v>
      </c>
    </row>
    <row r="2" customFormat="false" ht="15" hidden="false" customHeight="false" outlineLevel="0" collapsed="false">
      <c r="A2" s="15" t="s">
        <v>602</v>
      </c>
    </row>
    <row r="3" customFormat="false" ht="39.75" hidden="false" customHeight="true" outlineLevel="0" collapsed="false">
      <c r="B3" s="15" t="s">
        <v>603</v>
      </c>
      <c r="C3" s="96" t="s">
        <v>604</v>
      </c>
      <c r="D3" s="97" t="s">
        <v>605</v>
      </c>
      <c r="E3" s="97" t="s">
        <v>606</v>
      </c>
      <c r="F3" s="97" t="s">
        <v>607</v>
      </c>
      <c r="G3" s="97" t="s">
        <v>608</v>
      </c>
      <c r="H3" s="97" t="s">
        <v>609</v>
      </c>
      <c r="I3" s="5" t="s">
        <v>610</v>
      </c>
    </row>
    <row r="4" customFormat="false" ht="15" hidden="false" customHeight="false" outlineLevel="0" collapsed="false">
      <c r="A4" s="25" t="s">
        <v>318</v>
      </c>
      <c r="B4" s="25" t="s">
        <v>319</v>
      </c>
      <c r="C4" s="25" t="s">
        <v>130</v>
      </c>
      <c r="D4" s="25" t="s">
        <v>131</v>
      </c>
      <c r="E4" s="25" t="s">
        <v>132</v>
      </c>
      <c r="F4" s="25" t="s">
        <v>133</v>
      </c>
      <c r="G4" s="25" t="s">
        <v>134</v>
      </c>
      <c r="H4" s="25" t="s">
        <v>135</v>
      </c>
      <c r="I4" s="25" t="s">
        <v>320</v>
      </c>
    </row>
    <row r="5" customFormat="false" ht="15" hidden="false" customHeight="false" outlineLevel="0" collapsed="false">
      <c r="A5" s="16"/>
      <c r="B5" s="17" t="s">
        <v>433</v>
      </c>
      <c r="C5" s="16"/>
      <c r="D5" s="16"/>
      <c r="E5" s="16"/>
      <c r="F5" s="16"/>
      <c r="G5" s="16"/>
      <c r="H5" s="16"/>
      <c r="I5" s="16"/>
    </row>
    <row r="6" customFormat="false" ht="15" hidden="false" customHeight="false" outlineLevel="0" collapsed="false">
      <c r="A6" s="54" t="s">
        <v>831</v>
      </c>
      <c r="B6" s="13" t="s">
        <v>832</v>
      </c>
      <c r="C6" s="61" t="n">
        <v>224592214488</v>
      </c>
      <c r="D6" s="61" t="n">
        <v>292751864402</v>
      </c>
      <c r="E6" s="61" t="n">
        <v>253841095105</v>
      </c>
      <c r="F6" s="61" t="n">
        <v>232326431071</v>
      </c>
      <c r="G6" s="61" t="n">
        <v>308225530263</v>
      </c>
      <c r="H6" s="61" t="n">
        <v>446447611927</v>
      </c>
      <c r="I6" s="15" t="s">
        <v>833</v>
      </c>
    </row>
    <row r="7" customFormat="false" ht="15" hidden="false" customHeight="false" outlineLevel="0" collapsed="false">
      <c r="A7" s="54" t="s">
        <v>834</v>
      </c>
      <c r="B7" s="13" t="s">
        <v>835</v>
      </c>
      <c r="C7" s="61" t="n">
        <v>-54249030622</v>
      </c>
      <c r="D7" s="61" t="n">
        <v>-123129004365</v>
      </c>
      <c r="E7" s="61" t="n">
        <v>-109811205924</v>
      </c>
      <c r="F7" s="61" t="n">
        <v>-116752508937</v>
      </c>
      <c r="G7" s="61" t="n">
        <v>-211751066528</v>
      </c>
      <c r="H7" s="61" t="n">
        <v>-199202830638</v>
      </c>
      <c r="I7" s="15" t="s">
        <v>836</v>
      </c>
    </row>
    <row r="8" customFormat="false" ht="15" hidden="false" customHeight="false" outlineLevel="0" collapsed="false">
      <c r="A8" s="54" t="s">
        <v>837</v>
      </c>
      <c r="B8" s="13" t="s">
        <v>838</v>
      </c>
      <c r="C8" s="61" t="n">
        <v>-132743418321</v>
      </c>
      <c r="D8" s="61" t="n">
        <v>-84054771676</v>
      </c>
      <c r="E8" s="61" t="n">
        <v>-100269540230</v>
      </c>
      <c r="F8" s="61" t="n">
        <v>-81620584124</v>
      </c>
      <c r="G8" s="61" t="n">
        <v>-91189172580</v>
      </c>
      <c r="H8" s="61" t="n">
        <v>-93665214277</v>
      </c>
      <c r="I8" s="15" t="s">
        <v>839</v>
      </c>
    </row>
    <row r="9" customFormat="false" ht="15" hidden="false" customHeight="false" outlineLevel="0" collapsed="false">
      <c r="A9" s="54" t="s">
        <v>840</v>
      </c>
      <c r="B9" s="13" t="s">
        <v>841</v>
      </c>
      <c r="C9" s="61" t="n">
        <v>-16158312467</v>
      </c>
      <c r="D9" s="61" t="n">
        <v>-27083325288</v>
      </c>
      <c r="E9" s="61" t="n">
        <v>-43600635995</v>
      </c>
      <c r="F9" s="61" t="n">
        <v>-40146098673</v>
      </c>
      <c r="G9" s="61" t="n">
        <v>-39779078019</v>
      </c>
      <c r="H9" s="61" t="n">
        <v>-48300245415</v>
      </c>
      <c r="I9" s="15" t="s">
        <v>842</v>
      </c>
    </row>
    <row r="10" customFormat="false" ht="15" hidden="false" customHeight="false" outlineLevel="0" collapsed="false">
      <c r="A10" s="64" t="s">
        <v>843</v>
      </c>
      <c r="B10" s="65" t="s">
        <v>844</v>
      </c>
      <c r="C10" s="67" t="n">
        <f aca="false">C6+C7+C8+C9</f>
        <v>21441453078</v>
      </c>
      <c r="D10" s="67" t="n">
        <f aca="false">D6+D7+D8+D9</f>
        <v>58484763073</v>
      </c>
      <c r="E10" s="67" t="n">
        <f aca="false">E6+E7+E8+E9</f>
        <v>159712956</v>
      </c>
      <c r="F10" s="67" t="n">
        <f aca="false">F6+F7+F8+F9</f>
        <v>-6192760663</v>
      </c>
      <c r="G10" s="67" t="n">
        <f aca="false">G6+G7+G8+G9</f>
        <v>-34493786864</v>
      </c>
      <c r="H10" s="67" t="n">
        <f aca="false">H6+H7+H8+H9</f>
        <v>105279321597</v>
      </c>
    </row>
    <row r="11" customFormat="false" ht="15" hidden="false" customHeight="false" outlineLevel="0" collapsed="false">
      <c r="A11" s="54" t="s">
        <v>845</v>
      </c>
      <c r="B11" s="13" t="s">
        <v>846</v>
      </c>
      <c r="C11" s="61" t="n">
        <v>40428301431</v>
      </c>
      <c r="D11" s="61" t="n">
        <v>8573719399</v>
      </c>
      <c r="E11" s="61" t="n">
        <v>39138613754</v>
      </c>
      <c r="F11" s="61" t="n">
        <v>6623274915</v>
      </c>
      <c r="G11" s="61" t="n">
        <v>6242710845</v>
      </c>
      <c r="H11" s="61" t="n">
        <v>15555391585</v>
      </c>
      <c r="I11" s="15" t="s">
        <v>847</v>
      </c>
    </row>
    <row r="12" customFormat="false" ht="15" hidden="false" customHeight="false" outlineLevel="0" collapsed="false">
      <c r="A12" s="54" t="s">
        <v>848</v>
      </c>
      <c r="B12" s="13" t="s">
        <v>849</v>
      </c>
      <c r="C12" s="61" t="n">
        <v>-11305994267</v>
      </c>
      <c r="D12" s="61" t="n">
        <v>-18028301010</v>
      </c>
      <c r="E12" s="61" t="n">
        <v>-85574763730</v>
      </c>
      <c r="F12" s="61" t="n">
        <v>-82138957516</v>
      </c>
      <c r="G12" s="61" t="n">
        <v>-80360564102</v>
      </c>
      <c r="H12" s="61" t="n">
        <v>-70273454714</v>
      </c>
      <c r="I12" s="15" t="s">
        <v>850</v>
      </c>
    </row>
    <row r="13" customFormat="false" ht="15" hidden="false" customHeight="false" outlineLevel="0" collapsed="false">
      <c r="A13" s="54" t="s">
        <v>851</v>
      </c>
      <c r="B13" s="13" t="s">
        <v>852</v>
      </c>
      <c r="C13" s="61" t="n">
        <v>-260966152</v>
      </c>
      <c r="D13" s="61" t="n">
        <v>-1901091820</v>
      </c>
      <c r="E13" s="61" t="n">
        <v>-2559932092</v>
      </c>
      <c r="F13" s="61" t="n">
        <v>-1324820904</v>
      </c>
      <c r="G13" s="61" t="n">
        <v>-4399544199</v>
      </c>
      <c r="H13" s="61" t="n">
        <v>-4674353832</v>
      </c>
      <c r="I13" s="15" t="s">
        <v>853</v>
      </c>
    </row>
    <row r="14" customFormat="false" ht="15" hidden="false" customHeight="false" outlineLevel="0" collapsed="false">
      <c r="A14" s="64" t="s">
        <v>854</v>
      </c>
      <c r="B14" s="65" t="s">
        <v>855</v>
      </c>
      <c r="C14" s="67" t="n">
        <f aca="false">C10+C11+C12+C13</f>
        <v>50302794090</v>
      </c>
      <c r="D14" s="67" t="n">
        <f aca="false">D10+D11+D12+D13</f>
        <v>47129089642</v>
      </c>
      <c r="E14" s="67" t="n">
        <f aca="false">E10+E11+E12+E13</f>
        <v>-48836369112</v>
      </c>
      <c r="F14" s="67" t="n">
        <f aca="false">F10+F11+F12+F13</f>
        <v>-83033264168</v>
      </c>
      <c r="G14" s="67" t="n">
        <f aca="false">G10+G11+G12+G13</f>
        <v>-113011184320</v>
      </c>
      <c r="H14" s="67" t="n">
        <f aca="false">H10+H11+H12+H13</f>
        <v>45886904636</v>
      </c>
    </row>
    <row r="15" customFormat="false" ht="15" hidden="false" customHeight="false" outlineLevel="0" collapsed="false">
      <c r="A15" s="16"/>
      <c r="B15" s="17" t="s">
        <v>445</v>
      </c>
      <c r="C15" s="16"/>
      <c r="D15" s="16"/>
      <c r="E15" s="16"/>
      <c r="F15" s="16"/>
      <c r="G15" s="16"/>
      <c r="H15" s="16"/>
      <c r="I15" s="16"/>
    </row>
    <row r="16" customFormat="false" ht="15" hidden="false" customHeight="false" outlineLevel="0" collapsed="false">
      <c r="A16" s="54" t="s">
        <v>856</v>
      </c>
      <c r="B16" s="13" t="s">
        <v>857</v>
      </c>
      <c r="C16" s="61"/>
      <c r="D16" s="61" t="n">
        <v>0</v>
      </c>
      <c r="E16" s="61" t="n">
        <v>225800000</v>
      </c>
      <c r="F16" s="61" t="n">
        <v>0</v>
      </c>
      <c r="G16" s="61" t="n">
        <v>178083594007</v>
      </c>
      <c r="H16" s="61" t="n">
        <v>50159355</v>
      </c>
      <c r="I16" s="15" t="s">
        <v>858</v>
      </c>
    </row>
    <row r="17" customFormat="false" ht="15" hidden="false" customHeight="false" outlineLevel="0" collapsed="false">
      <c r="A17" s="54" t="s">
        <v>859</v>
      </c>
      <c r="B17" s="13" t="s">
        <v>860</v>
      </c>
      <c r="C17" s="61"/>
      <c r="D17" s="61"/>
      <c r="E17" s="61"/>
      <c r="F17" s="61"/>
      <c r="G17" s="61" t="n">
        <v>-94627467543</v>
      </c>
      <c r="H17" s="61" t="n">
        <v>0</v>
      </c>
      <c r="I17" s="15" t="s">
        <v>861</v>
      </c>
    </row>
    <row r="18" customFormat="false" ht="15" hidden="false" customHeight="false" outlineLevel="0" collapsed="false">
      <c r="A18" s="54" t="s">
        <v>862</v>
      </c>
      <c r="B18" s="13" t="s">
        <v>863</v>
      </c>
      <c r="C18" s="61" t="n">
        <v>0</v>
      </c>
      <c r="D18" s="61" t="n">
        <v>91597100</v>
      </c>
      <c r="E18" s="61" t="n">
        <v>55000000</v>
      </c>
      <c r="F18" s="61" t="n">
        <v>72000000</v>
      </c>
      <c r="G18" s="61" t="n">
        <v>0</v>
      </c>
      <c r="H18" s="61"/>
      <c r="I18" s="15" t="s">
        <v>864</v>
      </c>
    </row>
    <row r="19" customFormat="false" ht="15" hidden="false" customHeight="false" outlineLevel="0" collapsed="false">
      <c r="A19" s="54" t="s">
        <v>865</v>
      </c>
      <c r="B19" s="13" t="s">
        <v>866</v>
      </c>
      <c r="C19" s="61" t="n">
        <v>20000000000</v>
      </c>
      <c r="D19" s="61" t="n">
        <v>200000000000</v>
      </c>
      <c r="E19" s="61" t="n">
        <v>650000000000</v>
      </c>
      <c r="F19" s="61" t="n">
        <v>100000000000</v>
      </c>
      <c r="G19" s="61" t="n">
        <v>229000000000</v>
      </c>
      <c r="H19" s="61" t="n">
        <v>43000000000</v>
      </c>
      <c r="I19" s="15" t="s">
        <v>867</v>
      </c>
    </row>
    <row r="20" customFormat="false" ht="15" hidden="false" customHeight="false" outlineLevel="0" collapsed="false">
      <c r="A20" s="54" t="s">
        <v>868</v>
      </c>
      <c r="B20" s="13" t="s">
        <v>869</v>
      </c>
      <c r="C20" s="61" t="n">
        <v>0</v>
      </c>
      <c r="D20" s="61" t="n">
        <v>-650000000000</v>
      </c>
      <c r="E20" s="61" t="n">
        <v>-320000000000</v>
      </c>
      <c r="F20" s="61" t="n">
        <v>-9000000000</v>
      </c>
      <c r="G20" s="61" t="n">
        <v>-43000000000</v>
      </c>
      <c r="H20" s="61" t="n">
        <v>-50500000000</v>
      </c>
      <c r="I20" s="15" t="s">
        <v>870</v>
      </c>
    </row>
    <row r="21" customFormat="false" ht="15" hidden="false" customHeight="false" outlineLevel="0" collapsed="false">
      <c r="A21" s="54" t="s">
        <v>871</v>
      </c>
      <c r="B21" s="13" t="s">
        <v>872</v>
      </c>
      <c r="C21" s="61" t="n">
        <v>-479146160590</v>
      </c>
      <c r="D21" s="61" t="n">
        <v>-26276036375</v>
      </c>
      <c r="E21" s="61" t="n">
        <v>-3656599877</v>
      </c>
      <c r="F21" s="61" t="n">
        <v>-1732920358</v>
      </c>
      <c r="G21" s="61" t="n">
        <v>-216458917563</v>
      </c>
      <c r="H21" s="61" t="n">
        <v>-202413407666</v>
      </c>
      <c r="I21" s="15" t="s">
        <v>873</v>
      </c>
    </row>
    <row r="22" customFormat="false" ht="15" hidden="false" customHeight="false" outlineLevel="0" collapsed="false">
      <c r="A22" s="54" t="s">
        <v>874</v>
      </c>
      <c r="B22" s="13" t="s">
        <v>875</v>
      </c>
      <c r="C22" s="61" t="n">
        <v>-43121963224</v>
      </c>
      <c r="D22" s="61" t="n">
        <v>-284128900534</v>
      </c>
      <c r="E22" s="61" t="n">
        <v>-286797039796</v>
      </c>
      <c r="F22" s="61" t="n">
        <v>-10829090592</v>
      </c>
      <c r="G22" s="61" t="n">
        <v>-10471066015</v>
      </c>
      <c r="H22" s="61" t="n">
        <v>-8343053594</v>
      </c>
      <c r="I22" s="15" t="s">
        <v>876</v>
      </c>
    </row>
    <row r="23" customFormat="false" ht="15" hidden="false" customHeight="false" outlineLevel="0" collapsed="false">
      <c r="A23" s="64" t="s">
        <v>877</v>
      </c>
      <c r="B23" s="65" t="s">
        <v>878</v>
      </c>
      <c r="C23" s="67" t="n">
        <f aca="false">C16+C17+C18+C19+C20+C21+C22</f>
        <v>-502268123814</v>
      </c>
      <c r="D23" s="67" t="n">
        <f aca="false">D16+D17+D18+D19+D20+D21+D22</f>
        <v>-760313339809</v>
      </c>
      <c r="E23" s="67" t="n">
        <f aca="false">E16+E17+E18+E19+E20+E21+E22</f>
        <v>39827160327</v>
      </c>
      <c r="F23" s="67" t="n">
        <f aca="false">F16+F17+F18+F19+F20+F21+F22</f>
        <v>78509989050</v>
      </c>
      <c r="G23" s="67" t="n">
        <f aca="false">G16+G17+G18+G19+G20+G21+G22</f>
        <v>42526142886</v>
      </c>
      <c r="H23" s="67" t="n">
        <f aca="false">H16+H17+H18+H19+H20+H21+H22</f>
        <v>-218206301905</v>
      </c>
    </row>
    <row r="24" customFormat="false" ht="15" hidden="false" customHeight="false" outlineLevel="0" collapsed="false">
      <c r="A24" s="16"/>
      <c r="B24" s="17" t="s">
        <v>453</v>
      </c>
      <c r="C24" s="16"/>
      <c r="D24" s="16"/>
      <c r="E24" s="16"/>
      <c r="F24" s="16"/>
      <c r="G24" s="16"/>
      <c r="H24" s="16"/>
      <c r="I24" s="16"/>
    </row>
    <row r="25" customFormat="false" ht="15" hidden="false" customHeight="false" outlineLevel="0" collapsed="false">
      <c r="A25" s="54" t="s">
        <v>879</v>
      </c>
      <c r="B25" s="13" t="s">
        <v>880</v>
      </c>
      <c r="C25" s="61" t="n">
        <v>122406267224</v>
      </c>
      <c r="D25" s="61" t="n">
        <v>94430428219</v>
      </c>
      <c r="E25" s="61" t="n">
        <v>57611347026</v>
      </c>
      <c r="F25" s="61" t="n">
        <v>81109637645</v>
      </c>
      <c r="G25" s="61" t="n">
        <v>820261571890</v>
      </c>
      <c r="H25" s="61" t="n">
        <v>27073838533</v>
      </c>
      <c r="I25" s="15" t="s">
        <v>881</v>
      </c>
    </row>
    <row r="26" customFormat="false" ht="15" hidden="false" customHeight="false" outlineLevel="0" collapsed="false">
      <c r="A26" s="54" t="s">
        <v>882</v>
      </c>
      <c r="B26" s="13" t="s">
        <v>883</v>
      </c>
      <c r="C26" s="61" t="n">
        <v>-132166928747</v>
      </c>
      <c r="D26" s="61" t="n">
        <v>-104402505616</v>
      </c>
      <c r="E26" s="61" t="n">
        <v>-44937705922</v>
      </c>
      <c r="F26" s="61" t="n">
        <v>-69212953527</v>
      </c>
      <c r="G26" s="61" t="n">
        <v>-172242638206</v>
      </c>
      <c r="H26" s="61" t="n">
        <v>-796658178458</v>
      </c>
      <c r="I26" s="15" t="s">
        <v>884</v>
      </c>
    </row>
    <row r="27" customFormat="false" ht="15" hidden="false" customHeight="false" outlineLevel="0" collapsed="false">
      <c r="A27" s="54" t="s">
        <v>885</v>
      </c>
      <c r="B27" s="13" t="s">
        <v>886</v>
      </c>
      <c r="C27" s="61"/>
      <c r="D27" s="61" t="n">
        <v>748387819796</v>
      </c>
      <c r="E27" s="61" t="n">
        <v>91799881715</v>
      </c>
      <c r="F27" s="61" t="n">
        <v>4995000000</v>
      </c>
      <c r="G27" s="61" t="n">
        <v>0</v>
      </c>
      <c r="H27" s="61" t="n">
        <v>321589326771</v>
      </c>
      <c r="I27" s="15" t="s">
        <v>887</v>
      </c>
    </row>
    <row r="28" customFormat="false" ht="15" hidden="false" customHeight="false" outlineLevel="0" collapsed="false">
      <c r="A28" s="54" t="s">
        <v>888</v>
      </c>
      <c r="B28" s="13" t="s">
        <v>889</v>
      </c>
      <c r="C28" s="61" t="n">
        <v>-6801039853</v>
      </c>
      <c r="D28" s="61" t="n">
        <v>-8740092349</v>
      </c>
      <c r="E28" s="61" t="n">
        <v>-97609429124</v>
      </c>
      <c r="F28" s="61" t="n">
        <v>-4694056586</v>
      </c>
      <c r="G28" s="61" t="n">
        <v>-6804272871</v>
      </c>
      <c r="H28" s="61" t="n">
        <v>-102577989515</v>
      </c>
      <c r="I28" s="15" t="s">
        <v>890</v>
      </c>
    </row>
    <row r="29" customFormat="false" ht="15" hidden="false" customHeight="false" outlineLevel="0" collapsed="false">
      <c r="A29" s="54" t="s">
        <v>891</v>
      </c>
      <c r="B29" s="13" t="s">
        <v>892</v>
      </c>
      <c r="C29" s="61"/>
      <c r="D29" s="61"/>
      <c r="E29" s="61"/>
      <c r="F29" s="61"/>
      <c r="G29" s="61" t="n">
        <v>57235000000</v>
      </c>
      <c r="H29" s="61" t="n">
        <v>2672706546</v>
      </c>
      <c r="I29" s="15" t="s">
        <v>893</v>
      </c>
    </row>
    <row r="30" customFormat="false" ht="15" hidden="false" customHeight="false" outlineLevel="0" collapsed="false">
      <c r="A30" s="54" t="s">
        <v>894</v>
      </c>
      <c r="B30" s="13" t="s">
        <v>895</v>
      </c>
      <c r="C30" s="61"/>
      <c r="D30" s="61" t="n">
        <v>0</v>
      </c>
      <c r="E30" s="61" t="n">
        <v>-7107214914</v>
      </c>
      <c r="F30" s="61" t="n">
        <v>-15515140959</v>
      </c>
      <c r="G30" s="61" t="n">
        <v>-54212785089</v>
      </c>
      <c r="H30" s="61" t="n">
        <v>-56967748164</v>
      </c>
      <c r="I30" s="15" t="s">
        <v>896</v>
      </c>
    </row>
    <row r="31" customFormat="false" ht="15" hidden="false" customHeight="false" outlineLevel="0" collapsed="false">
      <c r="A31" s="54" t="s">
        <v>897</v>
      </c>
      <c r="B31" s="13" t="s">
        <v>898</v>
      </c>
      <c r="C31" s="61"/>
      <c r="D31" s="61"/>
      <c r="E31" s="61"/>
      <c r="F31" s="61"/>
      <c r="G31" s="61"/>
      <c r="H31" s="61" t="n">
        <v>750000000000</v>
      </c>
      <c r="I31" s="15" t="s">
        <v>899</v>
      </c>
    </row>
    <row r="32" customFormat="false" ht="15" hidden="false" customHeight="false" outlineLevel="0" collapsed="false">
      <c r="A32" s="54" t="s">
        <v>900</v>
      </c>
      <c r="B32" s="13" t="s">
        <v>901</v>
      </c>
      <c r="C32" s="61"/>
      <c r="D32" s="61"/>
      <c r="E32" s="61"/>
      <c r="F32" s="61"/>
      <c r="G32" s="61" t="n">
        <v>-650000000000</v>
      </c>
      <c r="H32" s="61" t="n">
        <v>0</v>
      </c>
      <c r="I32" s="15" t="s">
        <v>902</v>
      </c>
    </row>
    <row r="33" customFormat="false" ht="15" hidden="false" customHeight="false" outlineLevel="0" collapsed="false">
      <c r="A33" s="54" t="s">
        <v>903</v>
      </c>
      <c r="B33" s="13" t="s">
        <v>904</v>
      </c>
      <c r="C33" s="61"/>
      <c r="D33" s="61" t="n">
        <v>-1774574829</v>
      </c>
      <c r="E33" s="61" t="n">
        <v>0</v>
      </c>
      <c r="F33" s="61"/>
      <c r="G33" s="61"/>
      <c r="H33" s="61" t="n">
        <v>-2966184621</v>
      </c>
      <c r="I33" s="15" t="s">
        <v>905</v>
      </c>
    </row>
    <row r="34" customFormat="false" ht="15" hidden="false" customHeight="false" outlineLevel="0" collapsed="false">
      <c r="A34" s="54" t="s">
        <v>906</v>
      </c>
      <c r="B34" s="13" t="s">
        <v>907</v>
      </c>
      <c r="C34" s="61" t="n">
        <v>1392705481</v>
      </c>
      <c r="D34" s="61" t="n">
        <v>-449287797</v>
      </c>
      <c r="E34" s="61" t="n">
        <v>492529433</v>
      </c>
      <c r="F34" s="61" t="n">
        <v>395703903</v>
      </c>
      <c r="G34" s="61" t="n">
        <v>-445119396</v>
      </c>
      <c r="H34" s="61" t="n">
        <v>1288057209</v>
      </c>
      <c r="I34" s="15" t="s">
        <v>908</v>
      </c>
    </row>
    <row r="35" customFormat="false" ht="15" hidden="false" customHeight="false" outlineLevel="0" collapsed="false">
      <c r="A35" s="54" t="s">
        <v>909</v>
      </c>
      <c r="B35" s="13" t="s">
        <v>910</v>
      </c>
      <c r="C35" s="61" t="n">
        <v>-17619561583</v>
      </c>
      <c r="D35" s="61"/>
      <c r="E35" s="61"/>
      <c r="F35" s="61"/>
      <c r="G35" s="61"/>
      <c r="H35" s="61"/>
      <c r="I35" s="15" t="s">
        <v>911</v>
      </c>
    </row>
    <row r="36" customFormat="false" ht="15" hidden="false" customHeight="false" outlineLevel="0" collapsed="false">
      <c r="A36" s="54" t="s">
        <v>912</v>
      </c>
      <c r="B36" s="13" t="s">
        <v>913</v>
      </c>
      <c r="C36" s="61" t="n">
        <v>1030000000000</v>
      </c>
      <c r="D36" s="61"/>
      <c r="E36" s="61"/>
      <c r="F36" s="61"/>
      <c r="G36" s="61"/>
      <c r="H36" s="61"/>
      <c r="I36" s="15" t="s">
        <v>914</v>
      </c>
    </row>
    <row r="37" customFormat="false" ht="15" hidden="false" customHeight="false" outlineLevel="0" collapsed="false">
      <c r="A37" s="54" t="s">
        <v>915</v>
      </c>
      <c r="B37" s="13" t="s">
        <v>916</v>
      </c>
      <c r="C37" s="61" t="n">
        <v>-26715840668</v>
      </c>
      <c r="D37" s="61"/>
      <c r="E37" s="61"/>
      <c r="F37" s="61"/>
      <c r="G37" s="61"/>
      <c r="H37" s="61"/>
      <c r="I37" s="15" t="s">
        <v>917</v>
      </c>
    </row>
    <row r="38" customFormat="false" ht="15" hidden="false" customHeight="false" outlineLevel="0" collapsed="false">
      <c r="A38" s="54" t="s">
        <v>918</v>
      </c>
      <c r="B38" s="13" t="s">
        <v>919</v>
      </c>
      <c r="C38" s="61"/>
      <c r="D38" s="61"/>
      <c r="E38" s="61"/>
      <c r="F38" s="61"/>
      <c r="G38" s="61"/>
      <c r="H38" s="61"/>
      <c r="I38" s="15" t="s">
        <v>920</v>
      </c>
    </row>
    <row r="39" customFormat="false" ht="15" hidden="false" customHeight="false" outlineLevel="0" collapsed="false">
      <c r="A39" s="64" t="s">
        <v>921</v>
      </c>
      <c r="B39" s="65" t="s">
        <v>922</v>
      </c>
      <c r="C39" s="67" t="n">
        <f aca="false">C25+C26+C27+C28+C29+C30+C31+C32+C33+C34+C35+C36+C37+C38</f>
        <v>970495601854</v>
      </c>
      <c r="D39" s="67" t="n">
        <f aca="false">D25+D26+D27+D28+D29+D30+D31+D32+D33+D34+D35+D36+D37+D38</f>
        <v>727451787424</v>
      </c>
      <c r="E39" s="67" t="n">
        <f aca="false">E25+E26+E27+E28+E29+E30+E31+E32+E33+E34+E35+E36+E37+E38</f>
        <v>249408214</v>
      </c>
      <c r="F39" s="67" t="n">
        <f aca="false">F25+F26+F27+F28+F29+F30+F31+F32+F33+F34+F35+F36+F37+F38</f>
        <v>-2921809524</v>
      </c>
      <c r="G39" s="67" t="n">
        <f aca="false">G25+G26+G27+G28+G29+G30+G31+G32+G33+G34+G35+G36+G37+G38</f>
        <v>-6208243672</v>
      </c>
      <c r="H39" s="67" t="n">
        <f aca="false">H25+H26+H27+H28+H29+H30+H31+H32+H33+H34+H35+H36+H37+H38</f>
        <v>143453828301</v>
      </c>
    </row>
    <row r="40" customFormat="false" ht="15" hidden="false" customHeight="false" outlineLevel="0" collapsed="false">
      <c r="A40" s="64" t="s">
        <v>923</v>
      </c>
      <c r="B40" s="65" t="s">
        <v>464</v>
      </c>
      <c r="C40" s="67" t="n">
        <f aca="false">C14+C23+C39</f>
        <v>518530272130</v>
      </c>
      <c r="D40" s="67" t="n">
        <f aca="false">D14+D23+D39</f>
        <v>14267537257</v>
      </c>
      <c r="E40" s="67" t="n">
        <f aca="false">E14+E23+E39</f>
        <v>-8759800571</v>
      </c>
      <c r="F40" s="67" t="n">
        <f aca="false">F14+F23+F39</f>
        <v>-7445084642</v>
      </c>
      <c r="G40" s="67" t="n">
        <f aca="false">G14+G23+G39</f>
        <v>-76693285106</v>
      </c>
      <c r="H40" s="67" t="n">
        <f aca="false">H14+H23+H39</f>
        <v>-28865568968</v>
      </c>
    </row>
    <row r="41" customFormat="false" ht="15" hidden="false" customHeight="false" outlineLevel="0" collapsed="false">
      <c r="A41" s="54" t="s">
        <v>924</v>
      </c>
      <c r="B41" s="13" t="s">
        <v>466</v>
      </c>
      <c r="C41" s="61" t="n">
        <v>6949421674</v>
      </c>
      <c r="D41" s="61" t="n">
        <v>525479693804</v>
      </c>
      <c r="E41" s="61" t="n">
        <v>542400475238</v>
      </c>
      <c r="F41" s="61" t="n">
        <v>533208033479</v>
      </c>
      <c r="G41" s="61" t="n">
        <v>525762948837</v>
      </c>
      <c r="H41" s="61" t="n">
        <v>449069663731</v>
      </c>
      <c r="I41" s="15" t="s">
        <v>925</v>
      </c>
    </row>
    <row r="42" customFormat="false" ht="15" hidden="false" customHeight="false" outlineLevel="0" collapsed="false">
      <c r="A42" s="54" t="s">
        <v>926</v>
      </c>
      <c r="B42" s="13" t="s">
        <v>927</v>
      </c>
      <c r="C42" s="61" t="n">
        <v>0</v>
      </c>
      <c r="D42" s="61" t="n">
        <v>2653244177</v>
      </c>
      <c r="E42" s="61" t="n">
        <v>-432641188</v>
      </c>
      <c r="F42" s="61" t="n">
        <v>0</v>
      </c>
      <c r="G42" s="61"/>
      <c r="H42" s="61"/>
      <c r="I42" s="15" t="s">
        <v>928</v>
      </c>
    </row>
    <row r="43" customFormat="false" ht="15" hidden="false" customHeight="false" outlineLevel="0" collapsed="false">
      <c r="A43" s="64" t="s">
        <v>929</v>
      </c>
      <c r="B43" s="65" t="s">
        <v>469</v>
      </c>
      <c r="C43" s="67" t="n">
        <f aca="false">C40+C41+C42</f>
        <v>525479693804</v>
      </c>
      <c r="D43" s="67" t="n">
        <f aca="false">D40+D41+D42</f>
        <v>542400475238</v>
      </c>
      <c r="E43" s="67" t="n">
        <f aca="false">E40+E41+E42</f>
        <v>533208033479</v>
      </c>
      <c r="F43" s="67" t="n">
        <f aca="false">F40+F41+F42</f>
        <v>525762948837</v>
      </c>
      <c r="G43" s="67" t="n">
        <f aca="false">G40+G41+G42</f>
        <v>449069663731</v>
      </c>
      <c r="H43" s="67" t="n">
        <f aca="false">H40+H41+H42</f>
        <v>420204094763</v>
      </c>
    </row>
    <row r="44" customFormat="false" ht="15" hidden="false" customHeight="false" outlineLevel="0" collapsed="false">
      <c r="A44" s="16"/>
      <c r="B44" s="17" t="s">
        <v>799</v>
      </c>
      <c r="C44" s="16"/>
      <c r="D44" s="16"/>
      <c r="E44" s="16"/>
      <c r="F44" s="16"/>
      <c r="G44" s="16"/>
      <c r="H44" s="16"/>
      <c r="I44" s="16"/>
    </row>
    <row r="45" customFormat="false" ht="15" hidden="false" customHeight="false" outlineLevel="0" collapsed="false">
      <c r="A45" s="54" t="s">
        <v>930</v>
      </c>
      <c r="B45" s="13" t="s">
        <v>931</v>
      </c>
      <c r="C45" s="61"/>
      <c r="D45" s="61"/>
      <c r="E45" s="61"/>
      <c r="F45" s="61" t="n">
        <v>-6192760663</v>
      </c>
      <c r="G45" s="61" t="n">
        <v>-34493786864</v>
      </c>
      <c r="H45" s="61" t="n">
        <v>105279321597</v>
      </c>
      <c r="I45" s="15" t="s">
        <v>932</v>
      </c>
    </row>
    <row r="46" customFormat="false" ht="15" hidden="false" customHeight="false" outlineLevel="0" collapsed="false">
      <c r="A46" s="54" t="s">
        <v>933</v>
      </c>
      <c r="B46" s="13" t="s">
        <v>934</v>
      </c>
      <c r="C46" s="61" t="n">
        <v>50302794090</v>
      </c>
      <c r="D46" s="61" t="n">
        <v>47129089642</v>
      </c>
      <c r="E46" s="61" t="n">
        <v>-48836369112</v>
      </c>
      <c r="F46" s="61" t="n">
        <v>-83033264168</v>
      </c>
      <c r="G46" s="61" t="n">
        <v>-113011184320</v>
      </c>
      <c r="H46" s="61" t="n">
        <v>45886904636</v>
      </c>
      <c r="I46" s="15" t="s">
        <v>935</v>
      </c>
    </row>
    <row r="47" customFormat="false" ht="15" hidden="false" customHeight="false" outlineLevel="0" collapsed="false">
      <c r="A47" s="54" t="s">
        <v>936</v>
      </c>
      <c r="B47" s="13" t="s">
        <v>937</v>
      </c>
      <c r="C47" s="61" t="n">
        <v>-502268123814</v>
      </c>
      <c r="D47" s="61" t="n">
        <v>-760313339809</v>
      </c>
      <c r="E47" s="61" t="n">
        <v>39827160327</v>
      </c>
      <c r="F47" s="61" t="n">
        <v>78509989050</v>
      </c>
      <c r="G47" s="61" t="n">
        <v>42526142886</v>
      </c>
      <c r="H47" s="61" t="n">
        <v>-218206301905</v>
      </c>
      <c r="I47" s="15" t="s">
        <v>938</v>
      </c>
    </row>
    <row r="48" customFormat="false" ht="15" hidden="false" customHeight="false" outlineLevel="0" collapsed="false">
      <c r="A48" s="54" t="s">
        <v>939</v>
      </c>
      <c r="B48" s="13" t="s">
        <v>940</v>
      </c>
      <c r="C48" s="61" t="n">
        <v>970495601854</v>
      </c>
      <c r="D48" s="61" t="n">
        <v>727451787424</v>
      </c>
      <c r="E48" s="61" t="n">
        <v>249408214</v>
      </c>
      <c r="F48" s="61" t="n">
        <v>-2921809524</v>
      </c>
      <c r="G48" s="61" t="n">
        <v>-6208243672</v>
      </c>
      <c r="H48" s="61" t="n">
        <v>143453828301</v>
      </c>
      <c r="I48" s="15" t="s">
        <v>941</v>
      </c>
    </row>
    <row r="49" customFormat="false" ht="15" hidden="false" customHeight="false" outlineLevel="0" collapsed="false">
      <c r="A49" s="54" t="s">
        <v>942</v>
      </c>
      <c r="B49" s="13" t="s">
        <v>943</v>
      </c>
      <c r="C49" s="61" t="n">
        <v>518530272130</v>
      </c>
      <c r="D49" s="61" t="n">
        <v>14267537257</v>
      </c>
      <c r="E49" s="61" t="n">
        <v>-8759800571</v>
      </c>
      <c r="F49" s="61" t="n">
        <v>-7445084642</v>
      </c>
      <c r="G49" s="61" t="n">
        <v>-76693285106</v>
      </c>
      <c r="H49" s="61" t="n">
        <v>-28865568968</v>
      </c>
      <c r="I49" s="15" t="s">
        <v>944</v>
      </c>
    </row>
    <row r="50" customFormat="false" ht="15" hidden="false" customHeight="false" outlineLevel="0" collapsed="false">
      <c r="A50" s="54" t="s">
        <v>945</v>
      </c>
      <c r="B50" s="13" t="s">
        <v>946</v>
      </c>
      <c r="C50" s="61" t="n">
        <v>525479693804</v>
      </c>
      <c r="D50" s="61" t="n">
        <v>542400475238</v>
      </c>
      <c r="E50" s="61" t="n">
        <v>533208033479</v>
      </c>
      <c r="F50" s="61" t="n">
        <v>525762948837</v>
      </c>
      <c r="G50" s="61" t="n">
        <v>449069663731</v>
      </c>
      <c r="H50" s="61" t="n">
        <v>420204094763</v>
      </c>
      <c r="I50" s="15" t="s">
        <v>947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1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948</v>
      </c>
    </row>
    <row r="2" customFormat="false" ht="15" hidden="false" customHeight="false" outlineLevel="0" collapsed="false">
      <c r="A2" s="15" t="s">
        <v>949</v>
      </c>
    </row>
    <row r="3" customFormat="false" ht="22.35" hidden="false" customHeight="false" outlineLevel="0" collapsed="false">
      <c r="B3" s="15" t="s">
        <v>603</v>
      </c>
      <c r="C3" s="96" t="s">
        <v>604</v>
      </c>
      <c r="D3" s="97" t="s">
        <v>605</v>
      </c>
      <c r="E3" s="97" t="s">
        <v>606</v>
      </c>
      <c r="F3" s="97" t="s">
        <v>607</v>
      </c>
      <c r="G3" s="97" t="s">
        <v>608</v>
      </c>
      <c r="H3" s="97" t="s">
        <v>609</v>
      </c>
    </row>
    <row r="4" customFormat="false" ht="15" hidden="false" customHeight="false" outlineLevel="0" collapsed="false">
      <c r="A4" s="25" t="s">
        <v>318</v>
      </c>
      <c r="B4" s="25" t="s">
        <v>319</v>
      </c>
      <c r="C4" s="25" t="s">
        <v>130</v>
      </c>
      <c r="D4" s="25" t="s">
        <v>131</v>
      </c>
      <c r="E4" s="25" t="s">
        <v>132</v>
      </c>
      <c r="F4" s="25" t="s">
        <v>133</v>
      </c>
      <c r="G4" s="25" t="s">
        <v>134</v>
      </c>
      <c r="H4" s="25" t="s">
        <v>135</v>
      </c>
      <c r="I4" s="25" t="s">
        <v>320</v>
      </c>
    </row>
    <row r="5" customFormat="false" ht="15" hidden="false" customHeight="false" outlineLevel="0" collapsed="false">
      <c r="A5" s="16"/>
      <c r="B5" s="17" t="s">
        <v>950</v>
      </c>
      <c r="C5" s="16"/>
      <c r="D5" s="16"/>
      <c r="E5" s="16"/>
      <c r="F5" s="16"/>
      <c r="G5" s="16"/>
      <c r="H5" s="16"/>
      <c r="I5" s="16"/>
    </row>
    <row r="6" customFormat="false" ht="15" hidden="false" customHeight="false" outlineLevel="0" collapsed="false">
      <c r="A6" s="54" t="s">
        <v>951</v>
      </c>
      <c r="B6" s="13" t="s">
        <v>952</v>
      </c>
      <c r="C6" s="61"/>
      <c r="D6" s="73" t="n">
        <f aca="false">N(D48)+N(D49)+N(D50)+N(D51)+N(D52)</f>
        <v>227741067451</v>
      </c>
      <c r="E6" s="73" t="n">
        <f aca="false">N(E48)+N(E49)+N(E50)+N(E51)+N(E52)</f>
        <v>173583642926</v>
      </c>
      <c r="F6" s="73" t="n">
        <f aca="false">N(F48)+N(F49)+N(F50)+N(F51)+N(F52)</f>
        <v>176595367941</v>
      </c>
      <c r="G6" s="73" t="n">
        <f aca="false">N(G48)+N(G49)+N(G50)+N(G51)+N(G52)</f>
        <v>230649727444</v>
      </c>
      <c r="H6" s="73" t="n">
        <f aca="false">N(H48)+N(H49)+N(H50)+N(H51)+N(H52)</f>
        <v>238602832073</v>
      </c>
      <c r="I6" s="15" t="s">
        <v>953</v>
      </c>
    </row>
    <row r="7" customFormat="false" ht="15" hidden="false" customHeight="false" outlineLevel="0" collapsed="false">
      <c r="A7" s="54" t="s">
        <v>954</v>
      </c>
      <c r="B7" s="13" t="s">
        <v>955</v>
      </c>
      <c r="C7" s="61"/>
      <c r="D7" s="73" t="n">
        <f aca="false">N(D54)+N(D55)+N(D56)+N(D57)+N(D58)</f>
        <v>97988396120</v>
      </c>
      <c r="E7" s="73" t="n">
        <f aca="false">N(E54)+N(E55)+N(E56)+N(E57)+N(E58)</f>
        <v>86842548252</v>
      </c>
      <c r="F7" s="73" t="n">
        <f aca="false">N(F54)+N(F55)+N(F56)+N(F57)+N(F58)</f>
        <v>66085431242</v>
      </c>
      <c r="G7" s="73" t="n">
        <f aca="false">N(G54)+N(G55)+N(G56)+N(G57)+N(G58)</f>
        <v>88372683358</v>
      </c>
      <c r="H7" s="73" t="n">
        <f aca="false">N(H54)+N(H55)+N(H56)+N(H57)+N(H58)</f>
        <v>103348773155</v>
      </c>
      <c r="I7" s="15" t="s">
        <v>953</v>
      </c>
    </row>
    <row r="8" customFormat="false" ht="15" hidden="false" customHeight="false" outlineLevel="0" collapsed="false">
      <c r="A8" s="54" t="s">
        <v>956</v>
      </c>
      <c r="B8" s="13" t="s">
        <v>957</v>
      </c>
      <c r="C8" s="61"/>
      <c r="D8" s="73" t="n">
        <f aca="false">N(D60)</f>
        <v>0</v>
      </c>
      <c r="E8" s="73" t="n">
        <f aca="false">N(E60)</f>
        <v>0</v>
      </c>
      <c r="F8" s="73" t="n">
        <f aca="false">N(F60)</f>
        <v>0</v>
      </c>
      <c r="G8" s="73" t="n">
        <f aca="false">N(G60)</f>
        <v>0</v>
      </c>
      <c r="H8" s="73" t="n">
        <f aca="false">N(H60)</f>
        <v>97800000000</v>
      </c>
      <c r="I8" s="15" t="s">
        <v>958</v>
      </c>
    </row>
    <row r="9" customFormat="false" ht="15" hidden="false" customHeight="false" outlineLevel="0" collapsed="false">
      <c r="A9" s="54" t="s">
        <v>959</v>
      </c>
      <c r="B9" s="13" t="s">
        <v>960</v>
      </c>
      <c r="C9" s="61"/>
      <c r="D9" s="73" t="n">
        <f aca="false">N(D64)</f>
        <v>-34795107445</v>
      </c>
      <c r="E9" s="73" t="n">
        <f aca="false">N(E64)</f>
        <v>-26455466569</v>
      </c>
      <c r="F9" s="73" t="n">
        <f aca="false">N(F64)</f>
        <v>0</v>
      </c>
      <c r="G9" s="73" t="n">
        <f aca="false">N(G64)</f>
        <v>0</v>
      </c>
      <c r="H9" s="73" t="n">
        <f aca="false">N(H64)</f>
        <v>0</v>
      </c>
      <c r="I9" s="15" t="s">
        <v>961</v>
      </c>
    </row>
    <row r="10" customFormat="false" ht="15" hidden="false" customHeight="false" outlineLevel="0" collapsed="false">
      <c r="A10" s="64" t="s">
        <v>962</v>
      </c>
      <c r="B10" s="65" t="s">
        <v>963</v>
      </c>
      <c r="C10" s="70"/>
      <c r="D10" s="67" t="n">
        <f aca="false">D6+D7+D8+D9</f>
        <v>290934356126</v>
      </c>
      <c r="E10" s="67" t="n">
        <f aca="false">E6+E7+E8+E9</f>
        <v>233970724609</v>
      </c>
      <c r="F10" s="67" t="n">
        <f aca="false">F6+F7+F8+F9</f>
        <v>242680799183</v>
      </c>
      <c r="G10" s="67" t="n">
        <f aca="false">G6+G7+G8+G9</f>
        <v>319022410802</v>
      </c>
      <c r="H10" s="67" t="n">
        <f aca="false">H6+H7+H8+H9</f>
        <v>439751605228</v>
      </c>
    </row>
    <row r="11" customFormat="false" ht="15" hidden="false" customHeight="false" outlineLevel="0" collapsed="false">
      <c r="A11" s="54" t="s">
        <v>964</v>
      </c>
      <c r="B11" s="13" t="s">
        <v>965</v>
      </c>
      <c r="C11" s="59"/>
      <c r="D11" s="68" t="n">
        <f aca="false">IFERROR(D7/(D6+D7),0)</f>
        <v>0.300827548867532</v>
      </c>
      <c r="E11" s="68" t="n">
        <f aca="false">IFERROR(E7/(E6+E7),0)</f>
        <v>0.33346318916381</v>
      </c>
      <c r="F11" s="68" t="n">
        <f aca="false">IFERROR(F7/(F6+F7),0)</f>
        <v>0.272314214657611</v>
      </c>
      <c r="G11" s="68" t="n">
        <f aca="false">IFERROR(G7/(G6+G7),0)</f>
        <v>0.277010894425371</v>
      </c>
      <c r="H11" s="68" t="n">
        <f aca="false">IFERROR(H7/(H6+H7),0)</f>
        <v>0.302232162607019</v>
      </c>
    </row>
    <row r="12" customFormat="false" ht="15" hidden="false" customHeight="false" outlineLevel="0" collapsed="false">
      <c r="A12" s="54" t="s">
        <v>966</v>
      </c>
      <c r="B12" s="13" t="s">
        <v>967</v>
      </c>
      <c r="C12" s="61"/>
      <c r="D12" s="73" t="n">
        <f aca="false">N(D70)</f>
        <v>17297314280</v>
      </c>
      <c r="E12" s="73" t="n">
        <f aca="false">N(E70)</f>
        <v>22877629559</v>
      </c>
      <c r="F12" s="73" t="n">
        <f aca="false">N(F70)</f>
        <v>21584974350</v>
      </c>
      <c r="G12" s="73" t="n">
        <f aca="false">N(G70)</f>
        <v>25515756073</v>
      </c>
      <c r="H12" s="73" t="n">
        <f aca="false">N(H70)</f>
        <v>26326052136</v>
      </c>
      <c r="I12" s="15" t="s">
        <v>968</v>
      </c>
    </row>
    <row r="13" customFormat="false" ht="15" hidden="false" customHeight="false" outlineLevel="0" collapsed="false">
      <c r="A13" s="54" t="s">
        <v>969</v>
      </c>
      <c r="B13" s="13" t="s">
        <v>970</v>
      </c>
      <c r="C13" s="61"/>
      <c r="D13" s="73" t="n">
        <f aca="false">0</f>
        <v>0</v>
      </c>
      <c r="E13" s="73" t="n">
        <f aca="false">0</f>
        <v>0</v>
      </c>
      <c r="F13" s="73" t="n">
        <f aca="false">0</f>
        <v>0</v>
      </c>
      <c r="G13" s="73" t="n">
        <f aca="false">0</f>
        <v>0</v>
      </c>
      <c r="H13" s="73" t="n">
        <f aca="false">0</f>
        <v>0</v>
      </c>
      <c r="I13" s="15" t="s">
        <v>971</v>
      </c>
    </row>
    <row r="14" customFormat="false" ht="15" hidden="false" customHeight="false" outlineLevel="0" collapsed="false">
      <c r="A14" s="64" t="s">
        <v>972</v>
      </c>
      <c r="B14" s="65" t="s">
        <v>973</v>
      </c>
      <c r="C14" s="70"/>
      <c r="D14" s="67" t="n">
        <f aca="false">D12+D13</f>
        <v>17297314280</v>
      </c>
      <c r="E14" s="67" t="n">
        <f aca="false">E12+E13</f>
        <v>22877629559</v>
      </c>
      <c r="F14" s="67" t="n">
        <f aca="false">F12+F13</f>
        <v>21584974350</v>
      </c>
      <c r="G14" s="67" t="n">
        <f aca="false">G12+G13</f>
        <v>25515756073</v>
      </c>
      <c r="H14" s="67" t="n">
        <f aca="false">H12+H13</f>
        <v>26326052136</v>
      </c>
    </row>
    <row r="15" customFormat="false" ht="15" hidden="false" customHeight="false" outlineLevel="0" collapsed="false">
      <c r="A15" s="54" t="s">
        <v>974</v>
      </c>
      <c r="B15" s="13" t="s">
        <v>975</v>
      </c>
      <c r="C15" s="61"/>
      <c r="D15" s="73" t="n">
        <f aca="false">D39</f>
        <v>17297314280</v>
      </c>
      <c r="E15" s="73" t="n">
        <f aca="false">E39</f>
        <v>22877629559</v>
      </c>
      <c r="F15" s="73" t="n">
        <f aca="false">F39</f>
        <v>21584974350</v>
      </c>
      <c r="G15" s="73" t="n">
        <f aca="false">G39</f>
        <v>25515756073</v>
      </c>
      <c r="H15" s="73" t="n">
        <f aca="false">H39</f>
        <v>26326052136</v>
      </c>
    </row>
    <row r="16" customFormat="false" ht="15" hidden="false" customHeight="false" outlineLevel="0" collapsed="false">
      <c r="A16" s="54" t="s">
        <v>976</v>
      </c>
      <c r="B16" s="13" t="s">
        <v>977</v>
      </c>
      <c r="C16" s="61"/>
      <c r="D16" s="73" t="n">
        <f aca="false">0</f>
        <v>0</v>
      </c>
      <c r="E16" s="73" t="n">
        <f aca="false">0</f>
        <v>0</v>
      </c>
      <c r="F16" s="73" t="n">
        <f aca="false">0</f>
        <v>0</v>
      </c>
      <c r="G16" s="73" t="n">
        <f aca="false">0</f>
        <v>0</v>
      </c>
      <c r="H16" s="73" t="n">
        <f aca="false">0</f>
        <v>0</v>
      </c>
    </row>
    <row r="17" customFormat="false" ht="15" hidden="false" customHeight="false" outlineLevel="0" collapsed="false">
      <c r="A17" s="54" t="s">
        <v>978</v>
      </c>
      <c r="B17" s="13" t="s">
        <v>979</v>
      </c>
      <c r="C17" s="61"/>
      <c r="D17" s="73" t="n">
        <f aca="false">0</f>
        <v>0</v>
      </c>
      <c r="E17" s="73" t="n">
        <f aca="false">0</f>
        <v>0</v>
      </c>
      <c r="F17" s="73" t="n">
        <f aca="false">0</f>
        <v>0</v>
      </c>
      <c r="G17" s="73" t="n">
        <f aca="false">0</f>
        <v>0</v>
      </c>
      <c r="H17" s="73" t="n">
        <f aca="false">0</f>
        <v>0</v>
      </c>
    </row>
    <row r="18" customFormat="false" ht="15" hidden="false" customHeight="false" outlineLevel="0" collapsed="false">
      <c r="A18" s="64" t="s">
        <v>980</v>
      </c>
      <c r="B18" s="65" t="s">
        <v>981</v>
      </c>
      <c r="C18" s="70"/>
      <c r="D18" s="67" t="n">
        <f aca="false">D14+D16+D17</f>
        <v>17297314280</v>
      </c>
      <c r="E18" s="67" t="n">
        <f aca="false">E14+E16+E17</f>
        <v>22877629559</v>
      </c>
      <c r="F18" s="67" t="n">
        <f aca="false">F14+F16+F17</f>
        <v>21584974350</v>
      </c>
      <c r="G18" s="67" t="n">
        <f aca="false">G14+G16+G17</f>
        <v>25515756073</v>
      </c>
      <c r="H18" s="67" t="n">
        <f aca="false">H14+H16+H17</f>
        <v>26326052136</v>
      </c>
    </row>
    <row r="19" customFormat="false" ht="15" hidden="false" customHeight="false" outlineLevel="0" collapsed="false">
      <c r="A19" s="54" t="s">
        <v>982</v>
      </c>
      <c r="B19" s="13" t="s">
        <v>983</v>
      </c>
      <c r="C19" s="61"/>
      <c r="D19" s="73" t="n">
        <f aca="false">D31</f>
        <v>95695632413</v>
      </c>
      <c r="E19" s="73" t="n">
        <f aca="false">E31</f>
        <v>53237485863</v>
      </c>
      <c r="F19" s="73" t="n">
        <f aca="false">F31</f>
        <v>14630376744</v>
      </c>
      <c r="G19" s="73" t="n">
        <f aca="false">G31</f>
        <v>11678249547</v>
      </c>
      <c r="H19" s="73" t="n">
        <f aca="false">H31</f>
        <v>41493053594</v>
      </c>
    </row>
    <row r="20" customFormat="false" ht="15" hidden="false" customHeight="false" outlineLevel="0" collapsed="false">
      <c r="A20" s="54" t="s">
        <v>984</v>
      </c>
      <c r="B20" s="13" t="s">
        <v>985</v>
      </c>
      <c r="C20" s="62"/>
      <c r="D20" s="99" t="n">
        <f aca="false">D133</f>
        <v>33250000000</v>
      </c>
      <c r="E20" s="99" t="n">
        <f aca="false">E133</f>
        <v>33250000000</v>
      </c>
      <c r="F20" s="99" t="n">
        <f aca="false">F133</f>
        <v>33250000000</v>
      </c>
      <c r="G20" s="99" t="n">
        <f aca="false">G133</f>
        <v>33250000000</v>
      </c>
      <c r="H20" s="99" t="n">
        <f aca="false">H133</f>
        <v>33250000000</v>
      </c>
      <c r="I20" s="15" t="s">
        <v>986</v>
      </c>
    </row>
    <row r="27" customFormat="false" ht="15" hidden="false" customHeight="false" outlineLevel="0" collapsed="false">
      <c r="A27" s="16"/>
      <c r="B27" s="17" t="s">
        <v>987</v>
      </c>
      <c r="C27" s="16"/>
      <c r="D27" s="16"/>
      <c r="E27" s="16"/>
      <c r="F27" s="16"/>
      <c r="G27" s="16"/>
      <c r="H27" s="16"/>
      <c r="I27" s="16"/>
    </row>
    <row r="28" customFormat="false" ht="15" hidden="false" customHeight="false" outlineLevel="0" collapsed="false">
      <c r="B28" s="4" t="s">
        <v>988</v>
      </c>
    </row>
    <row r="29" customFormat="false" ht="15" hidden="false" customHeight="false" outlineLevel="0" collapsed="false">
      <c r="A29" s="54" t="s">
        <v>989</v>
      </c>
      <c r="B29" s="13" t="s">
        <v>990</v>
      </c>
      <c r="C29" s="61"/>
      <c r="D29" s="61" t="n">
        <v>2240626968829</v>
      </c>
      <c r="E29" s="61" t="n">
        <v>3037021081863</v>
      </c>
      <c r="F29" s="61" t="n">
        <v>3467630763681</v>
      </c>
      <c r="G29" s="61" t="n">
        <v>3482029090425</v>
      </c>
      <c r="H29" s="61" t="n">
        <v>3432215639882</v>
      </c>
      <c r="I29" s="15" t="s">
        <v>991</v>
      </c>
    </row>
    <row r="30" customFormat="false" ht="15" hidden="false" customHeight="false" outlineLevel="0" collapsed="false">
      <c r="A30" s="54" t="s">
        <v>992</v>
      </c>
      <c r="B30" s="13" t="s">
        <v>993</v>
      </c>
      <c r="C30" s="61"/>
      <c r="D30" s="61" t="n">
        <v>700939207168</v>
      </c>
      <c r="E30" s="61" t="n">
        <v>377484118288</v>
      </c>
      <c r="F30" s="61" t="n">
        <v>0</v>
      </c>
      <c r="G30" s="61" t="n">
        <v>-60970485090</v>
      </c>
      <c r="H30" s="61" t="n">
        <v>0</v>
      </c>
    </row>
    <row r="31" customFormat="false" ht="15" hidden="false" customHeight="false" outlineLevel="0" collapsed="false">
      <c r="A31" s="54" t="s">
        <v>994</v>
      </c>
      <c r="B31" s="13" t="s">
        <v>995</v>
      </c>
      <c r="C31" s="61"/>
      <c r="D31" s="61" t="n">
        <v>95695632413</v>
      </c>
      <c r="E31" s="61" t="n">
        <v>53237485863</v>
      </c>
      <c r="F31" s="61" t="n">
        <v>14630376744</v>
      </c>
      <c r="G31" s="61" t="n">
        <v>11678249547</v>
      </c>
      <c r="H31" s="61" t="n">
        <v>41493053594</v>
      </c>
    </row>
    <row r="32" customFormat="false" ht="15" hidden="false" customHeight="false" outlineLevel="0" collapsed="false">
      <c r="A32" s="54" t="s">
        <v>996</v>
      </c>
      <c r="B32" s="13" t="s">
        <v>997</v>
      </c>
      <c r="C32" s="61"/>
      <c r="D32" s="61" t="n">
        <v>-240726547</v>
      </c>
      <c r="E32" s="61" t="n">
        <v>-111922333</v>
      </c>
      <c r="F32" s="61" t="n">
        <v>-232050000</v>
      </c>
      <c r="G32" s="61" t="n">
        <v>-521215000</v>
      </c>
      <c r="H32" s="61" t="n">
        <v>-314989194</v>
      </c>
    </row>
    <row r="33" customFormat="false" ht="15" hidden="false" customHeight="false" outlineLevel="0" collapsed="false">
      <c r="A33" s="54" t="s">
        <v>998</v>
      </c>
      <c r="B33" s="13" t="s">
        <v>999</v>
      </c>
      <c r="C33" s="61"/>
      <c r="D33" s="61" t="n">
        <v>0</v>
      </c>
      <c r="E33" s="61" t="n">
        <v>0</v>
      </c>
      <c r="F33" s="61" t="n">
        <v>0</v>
      </c>
      <c r="G33" s="61" t="n">
        <v>0</v>
      </c>
      <c r="H33" s="61" t="n">
        <v>0</v>
      </c>
    </row>
    <row r="34" customFormat="false" ht="15" hidden="false" customHeight="false" outlineLevel="0" collapsed="false">
      <c r="A34" s="54" t="s">
        <v>1000</v>
      </c>
      <c r="B34" s="13" t="s">
        <v>1001</v>
      </c>
      <c r="C34" s="61"/>
      <c r="D34" s="61" t="n">
        <v>3037021081863</v>
      </c>
      <c r="E34" s="61" t="n">
        <v>3467630763681</v>
      </c>
      <c r="F34" s="61" t="n">
        <v>3482029090425</v>
      </c>
      <c r="G34" s="61" t="n">
        <v>3432215639882</v>
      </c>
      <c r="H34" s="61" t="n">
        <v>3473393704282</v>
      </c>
    </row>
    <row r="35" customFormat="false" ht="15" hidden="false" customHeight="false" outlineLevel="0" collapsed="false">
      <c r="A35" s="64" t="s">
        <v>1002</v>
      </c>
      <c r="B35" s="65" t="s">
        <v>1003</v>
      </c>
      <c r="C35" s="70"/>
      <c r="D35" s="67" t="n">
        <f aca="false">D29+N(D30)+D31+D32+D33</f>
        <v>3037021081863</v>
      </c>
      <c r="E35" s="67" t="n">
        <f aca="false">E29+N(E30)+E31+E32+E33</f>
        <v>3467630763681</v>
      </c>
      <c r="F35" s="67" t="n">
        <f aca="false">F29+N(F30)+F31+F32+F33</f>
        <v>3482029090425</v>
      </c>
      <c r="G35" s="67" t="n">
        <f aca="false">G29+N(G30)+G31+G32+G33</f>
        <v>3432215639882</v>
      </c>
      <c r="H35" s="67" t="n">
        <f aca="false">H29+N(H30)+H31+H32+H33</f>
        <v>3473393704282</v>
      </c>
    </row>
    <row r="36" customFormat="false" ht="15" hidden="false" customHeight="false" outlineLevel="0" collapsed="false">
      <c r="B36" s="4" t="s">
        <v>1004</v>
      </c>
    </row>
    <row r="37" customFormat="false" ht="15" hidden="false" customHeight="false" outlineLevel="0" collapsed="false">
      <c r="A37" s="54" t="s">
        <v>1005</v>
      </c>
      <c r="B37" s="13" t="s">
        <v>990</v>
      </c>
      <c r="C37" s="61"/>
      <c r="D37" s="61" t="n">
        <v>65309687948</v>
      </c>
      <c r="E37" s="61" t="n">
        <v>121230073828</v>
      </c>
      <c r="F37" s="61" t="n">
        <v>130276551957</v>
      </c>
      <c r="G37" s="61" t="n">
        <v>151629476307</v>
      </c>
      <c r="H37" s="61" t="n">
        <v>174790395878</v>
      </c>
      <c r="I37" s="15" t="s">
        <v>1006</v>
      </c>
    </row>
    <row r="38" customFormat="false" ht="15" hidden="false" customHeight="false" outlineLevel="0" collapsed="false">
      <c r="A38" s="54" t="s">
        <v>1007</v>
      </c>
      <c r="B38" s="13" t="s">
        <v>993</v>
      </c>
      <c r="C38" s="61"/>
      <c r="D38" s="61" t="n">
        <v>38788051552</v>
      </c>
      <c r="E38" s="61" t="n">
        <v>-13751885347</v>
      </c>
      <c r="F38" s="61" t="n">
        <v>0</v>
      </c>
      <c r="G38" s="61" t="n">
        <v>-1833621502</v>
      </c>
      <c r="H38" s="61" t="n">
        <v>0</v>
      </c>
    </row>
    <row r="39" customFormat="false" ht="15" hidden="false" customHeight="false" outlineLevel="0" collapsed="false">
      <c r="A39" s="54" t="s">
        <v>1008</v>
      </c>
      <c r="B39" s="13" t="s">
        <v>995</v>
      </c>
      <c r="C39" s="61"/>
      <c r="D39" s="61" t="n">
        <v>17297314280</v>
      </c>
      <c r="E39" s="61" t="n">
        <v>22877629559</v>
      </c>
      <c r="F39" s="61" t="n">
        <v>21584974350</v>
      </c>
      <c r="G39" s="61" t="n">
        <v>25515756073</v>
      </c>
      <c r="H39" s="61" t="n">
        <v>26326052136</v>
      </c>
    </row>
    <row r="40" customFormat="false" ht="15" hidden="false" customHeight="false" outlineLevel="0" collapsed="false">
      <c r="A40" s="54" t="s">
        <v>1009</v>
      </c>
      <c r="B40" s="13" t="s">
        <v>997</v>
      </c>
      <c r="C40" s="61"/>
      <c r="D40" s="61" t="n">
        <v>-164979952</v>
      </c>
      <c r="E40" s="61" t="n">
        <v>-79266083</v>
      </c>
      <c r="F40" s="61" t="n">
        <v>-232050000</v>
      </c>
      <c r="G40" s="61" t="n">
        <v>-521215000</v>
      </c>
      <c r="H40" s="61" t="n">
        <v>-314989194</v>
      </c>
    </row>
    <row r="41" customFormat="false" ht="15" hidden="false" customHeight="false" outlineLevel="0" collapsed="false">
      <c r="A41" s="54" t="s">
        <v>1010</v>
      </c>
      <c r="B41" s="13" t="s">
        <v>999</v>
      </c>
      <c r="C41" s="61"/>
      <c r="D41" s="61" t="n">
        <v>0</v>
      </c>
      <c r="E41" s="61" t="n">
        <v>0</v>
      </c>
      <c r="F41" s="61" t="n">
        <v>0</v>
      </c>
      <c r="G41" s="61" t="n">
        <v>0</v>
      </c>
      <c r="H41" s="61" t="n">
        <v>0</v>
      </c>
    </row>
    <row r="42" customFormat="false" ht="15" hidden="false" customHeight="false" outlineLevel="0" collapsed="false">
      <c r="A42" s="54" t="s">
        <v>1011</v>
      </c>
      <c r="B42" s="13" t="s">
        <v>1001</v>
      </c>
      <c r="C42" s="61"/>
      <c r="D42" s="61" t="n">
        <v>121230073828</v>
      </c>
      <c r="E42" s="61" t="n">
        <v>130276551957</v>
      </c>
      <c r="F42" s="61" t="n">
        <v>151629476307</v>
      </c>
      <c r="G42" s="61" t="n">
        <v>174790395878</v>
      </c>
      <c r="H42" s="61" t="n">
        <v>200801458820</v>
      </c>
    </row>
    <row r="43" customFormat="false" ht="15" hidden="false" customHeight="false" outlineLevel="0" collapsed="false">
      <c r="A43" s="64" t="s">
        <v>1012</v>
      </c>
      <c r="B43" s="65" t="s">
        <v>1003</v>
      </c>
      <c r="C43" s="70"/>
      <c r="D43" s="67" t="n">
        <f aca="false">D37+N(D38)+D39+D40+D41</f>
        <v>121230073828</v>
      </c>
      <c r="E43" s="67" t="n">
        <f aca="false">E37+N(E38)+E39+E40+E41</f>
        <v>130276551957</v>
      </c>
      <c r="F43" s="67" t="n">
        <f aca="false">F37+N(F38)+F39+F40+F41</f>
        <v>151629476307</v>
      </c>
      <c r="G43" s="67" t="n">
        <f aca="false">G37+N(G38)+G39+G40+G41</f>
        <v>174790395878</v>
      </c>
      <c r="H43" s="67" t="n">
        <f aca="false">H37+N(H38)+H39+H40+H41</f>
        <v>200801458820</v>
      </c>
    </row>
    <row r="44" customFormat="false" ht="15" hidden="false" customHeight="false" outlineLevel="0" collapsed="false">
      <c r="A44" s="64" t="s">
        <v>1013</v>
      </c>
      <c r="B44" s="65" t="s">
        <v>1014</v>
      </c>
      <c r="C44" s="70"/>
      <c r="D44" s="67" t="n">
        <f aca="false">D34-D42</f>
        <v>2915791008035</v>
      </c>
      <c r="E44" s="67" t="n">
        <f aca="false">E34-E42</f>
        <v>3337354211724</v>
      </c>
      <c r="F44" s="67" t="n">
        <f aca="false">F34-F42</f>
        <v>3330399614118</v>
      </c>
      <c r="G44" s="67" t="n">
        <f aca="false">G34-G42</f>
        <v>3257425244004</v>
      </c>
      <c r="H44" s="67" t="n">
        <f aca="false">H34-H42</f>
        <v>3272592245462</v>
      </c>
    </row>
    <row r="46" customFormat="false" ht="15" hidden="false" customHeight="false" outlineLevel="0" collapsed="false">
      <c r="A46" s="16"/>
      <c r="B46" s="17" t="s">
        <v>1015</v>
      </c>
      <c r="C46" s="16"/>
      <c r="D46" s="16"/>
      <c r="E46" s="16"/>
      <c r="F46" s="16"/>
      <c r="G46" s="16"/>
      <c r="H46" s="16"/>
      <c r="I46" s="16"/>
    </row>
    <row r="47" customFormat="false" ht="15" hidden="false" customHeight="false" outlineLevel="0" collapsed="false">
      <c r="B47" s="4" t="s">
        <v>1016</v>
      </c>
    </row>
    <row r="48" customFormat="false" ht="15" hidden="false" customHeight="false" outlineLevel="0" collapsed="false">
      <c r="A48" s="54" t="s">
        <v>1017</v>
      </c>
      <c r="B48" s="13" t="s">
        <v>1018</v>
      </c>
      <c r="C48" s="61"/>
      <c r="D48" s="61" t="n">
        <v>85561084222</v>
      </c>
      <c r="E48" s="61" t="n">
        <v>59522584951</v>
      </c>
      <c r="F48" s="61" t="n">
        <v>62769144873</v>
      </c>
      <c r="G48" s="61" t="n">
        <v>79971978451</v>
      </c>
      <c r="H48" s="61" t="n">
        <v>94961869556</v>
      </c>
      <c r="I48" s="15" t="s">
        <v>1019</v>
      </c>
    </row>
    <row r="49" customFormat="false" ht="15" hidden="false" customHeight="false" outlineLevel="0" collapsed="false">
      <c r="A49" s="54" t="s">
        <v>1020</v>
      </c>
      <c r="B49" s="13" t="s">
        <v>1021</v>
      </c>
      <c r="C49" s="61"/>
      <c r="D49" s="61" t="n">
        <v>57817012718</v>
      </c>
      <c r="E49" s="61" t="n">
        <v>48425092048</v>
      </c>
      <c r="F49" s="61" t="n">
        <v>47312041259</v>
      </c>
      <c r="G49" s="61" t="n">
        <v>65218414029</v>
      </c>
      <c r="H49" s="61" t="n">
        <v>56392997716</v>
      </c>
      <c r="I49" s="15" t="s">
        <v>1019</v>
      </c>
    </row>
    <row r="50" customFormat="false" ht="15" hidden="false" customHeight="false" outlineLevel="0" collapsed="false">
      <c r="A50" s="54" t="s">
        <v>1022</v>
      </c>
      <c r="B50" s="13" t="s">
        <v>1023</v>
      </c>
      <c r="C50" s="61"/>
      <c r="D50" s="61" t="n">
        <v>30071123526</v>
      </c>
      <c r="E50" s="61" t="n">
        <v>31296284192</v>
      </c>
      <c r="F50" s="61" t="n">
        <v>33594554794</v>
      </c>
      <c r="G50" s="61" t="n">
        <v>42736234133</v>
      </c>
      <c r="H50" s="61" t="n">
        <v>46510425397</v>
      </c>
      <c r="I50" s="15" t="s">
        <v>1019</v>
      </c>
    </row>
    <row r="51" customFormat="false" ht="15" hidden="false" customHeight="false" outlineLevel="0" collapsed="false">
      <c r="A51" s="54" t="s">
        <v>1024</v>
      </c>
      <c r="B51" s="13" t="s">
        <v>1025</v>
      </c>
      <c r="C51" s="61"/>
      <c r="D51" s="61" t="n">
        <v>44975023114</v>
      </c>
      <c r="E51" s="61" t="n">
        <v>26325975238</v>
      </c>
      <c r="F51" s="61" t="n">
        <v>25620273578</v>
      </c>
      <c r="G51" s="61" t="n">
        <v>31989346647</v>
      </c>
      <c r="H51" s="61" t="n">
        <v>28716987760</v>
      </c>
      <c r="I51" s="15" t="s">
        <v>1019</v>
      </c>
    </row>
    <row r="52" customFormat="false" ht="15" hidden="false" customHeight="false" outlineLevel="0" collapsed="false">
      <c r="A52" s="54" t="s">
        <v>1026</v>
      </c>
      <c r="B52" s="13" t="s">
        <v>1027</v>
      </c>
      <c r="C52" s="61"/>
      <c r="D52" s="61" t="n">
        <v>9316823871</v>
      </c>
      <c r="E52" s="61" t="n">
        <v>8013706497</v>
      </c>
      <c r="F52" s="61" t="n">
        <v>7299353437</v>
      </c>
      <c r="G52" s="61" t="n">
        <v>10733754184</v>
      </c>
      <c r="H52" s="61" t="n">
        <v>12020551644</v>
      </c>
      <c r="I52" s="15" t="s">
        <v>1019</v>
      </c>
    </row>
    <row r="53" customFormat="false" ht="15" hidden="false" customHeight="false" outlineLevel="0" collapsed="false">
      <c r="B53" s="4" t="s">
        <v>1028</v>
      </c>
    </row>
    <row r="54" customFormat="false" ht="15" hidden="false" customHeight="false" outlineLevel="0" collapsed="false">
      <c r="A54" s="54" t="s">
        <v>1029</v>
      </c>
      <c r="B54" s="13" t="s">
        <v>1023</v>
      </c>
      <c r="C54" s="61"/>
      <c r="D54" s="61" t="n">
        <v>21371214441</v>
      </c>
      <c r="E54" s="61" t="n">
        <v>28948975992</v>
      </c>
      <c r="F54" s="61" t="n">
        <v>22454208393</v>
      </c>
      <c r="G54" s="61" t="n">
        <v>29796942473</v>
      </c>
      <c r="H54" s="61" t="n">
        <v>39818018139</v>
      </c>
      <c r="I54" s="15" t="s">
        <v>1019</v>
      </c>
    </row>
    <row r="55" customFormat="false" ht="15" hidden="false" customHeight="false" outlineLevel="0" collapsed="false">
      <c r="A55" s="54" t="s">
        <v>1030</v>
      </c>
      <c r="B55" s="13" t="s">
        <v>1021</v>
      </c>
      <c r="C55" s="61"/>
      <c r="D55" s="61" t="n">
        <v>23746436531</v>
      </c>
      <c r="E55" s="61" t="n">
        <v>25714454586</v>
      </c>
      <c r="F55" s="61" t="n">
        <v>23340671793</v>
      </c>
      <c r="G55" s="61" t="n">
        <v>28927667098</v>
      </c>
      <c r="H55" s="61" t="n">
        <v>32511984256</v>
      </c>
      <c r="I55" s="15" t="s">
        <v>1019</v>
      </c>
    </row>
    <row r="56" customFormat="false" ht="15" hidden="false" customHeight="false" outlineLevel="0" collapsed="false">
      <c r="A56" s="54" t="s">
        <v>1031</v>
      </c>
      <c r="B56" s="13" t="s">
        <v>1025</v>
      </c>
      <c r="C56" s="61"/>
      <c r="D56" s="61" t="n">
        <v>43452183356</v>
      </c>
      <c r="E56" s="61" t="n">
        <v>21708000186</v>
      </c>
      <c r="F56" s="61" t="n">
        <v>11830465265</v>
      </c>
      <c r="G56" s="61" t="n">
        <v>16622572369</v>
      </c>
      <c r="H56" s="61" t="n">
        <v>15273486238</v>
      </c>
      <c r="I56" s="15" t="s">
        <v>1019</v>
      </c>
    </row>
    <row r="57" customFormat="false" ht="15" hidden="false" customHeight="false" outlineLevel="0" collapsed="false">
      <c r="A57" s="54" t="s">
        <v>1032</v>
      </c>
      <c r="B57" s="13" t="s">
        <v>1033</v>
      </c>
      <c r="C57" s="61"/>
      <c r="D57" s="61" t="n">
        <v>5714685941</v>
      </c>
      <c r="E57" s="61" t="n">
        <v>5640831403</v>
      </c>
      <c r="F57" s="61" t="n">
        <v>4835372702</v>
      </c>
      <c r="G57" s="61" t="n">
        <v>7017350222</v>
      </c>
      <c r="H57" s="61" t="n">
        <v>8764830069</v>
      </c>
      <c r="I57" s="15" t="s">
        <v>1019</v>
      </c>
    </row>
    <row r="58" customFormat="false" ht="15" hidden="false" customHeight="false" outlineLevel="0" collapsed="false">
      <c r="A58" s="54" t="s">
        <v>1034</v>
      </c>
      <c r="B58" s="13" t="s">
        <v>1027</v>
      </c>
      <c r="C58" s="61"/>
      <c r="D58" s="61" t="n">
        <v>3703875851</v>
      </c>
      <c r="E58" s="61" t="n">
        <v>4830286085</v>
      </c>
      <c r="F58" s="61" t="n">
        <v>3624713089</v>
      </c>
      <c r="G58" s="61" t="n">
        <v>6008151196</v>
      </c>
      <c r="H58" s="61" t="n">
        <v>6980454453</v>
      </c>
      <c r="I58" s="15" t="s">
        <v>1019</v>
      </c>
    </row>
    <row r="59" customFormat="false" ht="15" hidden="false" customHeight="false" outlineLevel="0" collapsed="false">
      <c r="B59" s="4" t="s">
        <v>1035</v>
      </c>
    </row>
    <row r="60" customFormat="false" ht="15" hidden="false" customHeight="false" outlineLevel="0" collapsed="false">
      <c r="A60" s="54" t="s">
        <v>1036</v>
      </c>
      <c r="B60" s="13" t="s">
        <v>1037</v>
      </c>
      <c r="C60" s="61"/>
      <c r="D60" s="61"/>
      <c r="E60" s="61"/>
      <c r="F60" s="61"/>
      <c r="G60" s="61"/>
      <c r="H60" s="61" t="n">
        <v>97800000000</v>
      </c>
      <c r="I60" s="15" t="s">
        <v>1038</v>
      </c>
    </row>
    <row r="61" customFormat="false" ht="15" hidden="false" customHeight="false" outlineLevel="0" collapsed="false">
      <c r="B61" s="4" t="s">
        <v>1039</v>
      </c>
    </row>
    <row r="62" customFormat="false" ht="15" hidden="false" customHeight="false" outlineLevel="0" collapsed="false">
      <c r="A62" s="54" t="s">
        <v>1040</v>
      </c>
      <c r="B62" s="13" t="s">
        <v>1041</v>
      </c>
      <c r="C62" s="61"/>
      <c r="D62" s="61" t="n">
        <v>290934356126</v>
      </c>
      <c r="E62" s="61" t="n">
        <v>233970724609</v>
      </c>
      <c r="F62" s="61" t="n">
        <v>242680799183</v>
      </c>
      <c r="G62" s="61" t="n">
        <v>319022410802</v>
      </c>
      <c r="H62" s="61" t="n">
        <v>439751605228</v>
      </c>
      <c r="I62" s="15" t="s">
        <v>1019</v>
      </c>
    </row>
    <row r="63" customFormat="false" ht="15" hidden="false" customHeight="false" outlineLevel="0" collapsed="false">
      <c r="A63" s="54" t="s">
        <v>1042</v>
      </c>
      <c r="B63" s="13" t="s">
        <v>1043</v>
      </c>
      <c r="C63" s="61"/>
      <c r="D63" s="61" t="n">
        <v>325729463571</v>
      </c>
      <c r="E63" s="61" t="n">
        <v>260426191178</v>
      </c>
      <c r="F63" s="61"/>
      <c r="G63" s="61"/>
      <c r="H63" s="61"/>
      <c r="I63" s="15" t="s">
        <v>1038</v>
      </c>
    </row>
    <row r="64" customFormat="false" ht="15" hidden="false" customHeight="false" outlineLevel="0" collapsed="false">
      <c r="A64" s="54" t="s">
        <v>1044</v>
      </c>
      <c r="B64" s="13" t="s">
        <v>1045</v>
      </c>
      <c r="C64" s="61"/>
      <c r="D64" s="61" t="n">
        <v>-34795107445</v>
      </c>
      <c r="E64" s="61" t="n">
        <v>-26455466569</v>
      </c>
      <c r="F64" s="61"/>
      <c r="G64" s="61"/>
      <c r="H64" s="61"/>
      <c r="I64" s="15" t="s">
        <v>1038</v>
      </c>
    </row>
    <row r="65" customFormat="false" ht="15" hidden="false" customHeight="false" outlineLevel="0" collapsed="false">
      <c r="A65" s="64" t="s">
        <v>1046</v>
      </c>
      <c r="B65" s="65" t="s">
        <v>1047</v>
      </c>
      <c r="C65" s="70"/>
      <c r="D65" s="67" t="n">
        <f aca="false">N(D48)+N(D49)+N(D50)+N(D51)+N(D52)+N(D54)+N(D55)+N(D56)+N(D57)+N(D58)+N(D60)+N(D64)</f>
        <v>290934356126</v>
      </c>
      <c r="E65" s="67" t="n">
        <f aca="false">N(E48)+N(E49)+N(E50)+N(E51)+N(E52)+N(E54)+N(E55)+N(E56)+N(E57)+N(E58)+N(E60)+N(E64)</f>
        <v>233970724609</v>
      </c>
      <c r="F65" s="67" t="n">
        <f aca="false">N(F48)+N(F49)+N(F50)+N(F51)+N(F52)+N(F54)+N(F55)+N(F56)+N(F57)+N(F58)+N(F60)+N(F64)</f>
        <v>242680799183</v>
      </c>
      <c r="G65" s="67" t="n">
        <f aca="false">N(G48)+N(G49)+N(G50)+N(G51)+N(G52)+N(G54)+N(G55)+N(G56)+N(G57)+N(G58)+N(G60)+N(G64)</f>
        <v>319022410802</v>
      </c>
      <c r="H65" s="67" t="n">
        <f aca="false">N(H48)+N(H49)+N(H50)+N(H51)+N(H52)+N(H54)+N(H55)+N(H56)+N(H57)+N(H58)+N(H60)+N(H64)</f>
        <v>439751605228</v>
      </c>
    </row>
    <row r="66" customFormat="false" ht="15" hidden="false" customHeight="false" outlineLevel="0" collapsed="false">
      <c r="B66" s="4" t="s">
        <v>1048</v>
      </c>
    </row>
    <row r="67" customFormat="false" ht="15" hidden="false" customHeight="false" outlineLevel="0" collapsed="false">
      <c r="A67" s="54" t="s">
        <v>1049</v>
      </c>
      <c r="B67" s="13" t="s">
        <v>1050</v>
      </c>
      <c r="C67" s="61"/>
      <c r="D67" s="61"/>
      <c r="E67" s="61"/>
      <c r="F67" s="61" t="n">
        <v>53752817033</v>
      </c>
      <c r="G67" s="61" t="n">
        <v>56136910913</v>
      </c>
      <c r="H67" s="61" t="n">
        <v>63395778416</v>
      </c>
      <c r="I67" s="15" t="s">
        <v>1019</v>
      </c>
    </row>
    <row r="68" customFormat="false" ht="15" hidden="false" customHeight="false" outlineLevel="0" collapsed="false">
      <c r="A68" s="54" t="s">
        <v>1051</v>
      </c>
      <c r="B68" s="13" t="s">
        <v>1052</v>
      </c>
      <c r="C68" s="61"/>
      <c r="D68" s="61"/>
      <c r="E68" s="61"/>
      <c r="F68" s="61" t="n">
        <v>29196274360</v>
      </c>
      <c r="G68" s="61" t="n">
        <v>69246864317</v>
      </c>
      <c r="H68" s="61" t="n">
        <v>57975226027</v>
      </c>
      <c r="I68" s="15" t="s">
        <v>1019</v>
      </c>
    </row>
    <row r="69" customFormat="false" ht="15" hidden="false" customHeight="false" outlineLevel="0" collapsed="false">
      <c r="A69" s="54" t="s">
        <v>1053</v>
      </c>
      <c r="B69" s="13" t="s">
        <v>1023</v>
      </c>
      <c r="C69" s="61"/>
      <c r="D69" s="61" t="n">
        <v>47583755931</v>
      </c>
      <c r="E69" s="61" t="n">
        <v>41597478556</v>
      </c>
      <c r="F69" s="61" t="n">
        <v>36214766736</v>
      </c>
      <c r="G69" s="61" t="n">
        <v>46011351956</v>
      </c>
      <c r="H69" s="61" t="n">
        <v>56179311287</v>
      </c>
      <c r="I69" s="15" t="s">
        <v>1019</v>
      </c>
    </row>
    <row r="70" customFormat="false" ht="15" hidden="false" customHeight="false" outlineLevel="0" collapsed="false">
      <c r="A70" s="54" t="s">
        <v>1054</v>
      </c>
      <c r="B70" s="13" t="s">
        <v>1055</v>
      </c>
      <c r="C70" s="61"/>
      <c r="D70" s="61" t="n">
        <v>17297314280</v>
      </c>
      <c r="E70" s="61" t="n">
        <v>22877629559</v>
      </c>
      <c r="F70" s="61" t="n">
        <v>21584974350</v>
      </c>
      <c r="G70" s="61" t="n">
        <v>25515756073</v>
      </c>
      <c r="H70" s="61" t="n">
        <v>26326052136</v>
      </c>
      <c r="I70" s="15" t="s">
        <v>1019</v>
      </c>
    </row>
    <row r="71" customFormat="false" ht="15" hidden="false" customHeight="false" outlineLevel="0" collapsed="false">
      <c r="A71" s="54" t="s">
        <v>1056</v>
      </c>
      <c r="B71" s="13" t="s">
        <v>1057</v>
      </c>
      <c r="C71" s="61"/>
      <c r="D71" s="61" t="n">
        <v>7279969949</v>
      </c>
      <c r="E71" s="61" t="n">
        <v>5033270720</v>
      </c>
      <c r="F71" s="61" t="n">
        <v>3883308486</v>
      </c>
      <c r="G71" s="61" t="n">
        <v>5515498100</v>
      </c>
      <c r="H71" s="61" t="n">
        <v>6750975538</v>
      </c>
      <c r="I71" s="15" t="s">
        <v>1019</v>
      </c>
    </row>
    <row r="72" customFormat="false" ht="15" hidden="false" customHeight="false" outlineLevel="0" collapsed="false">
      <c r="A72" s="54" t="s">
        <v>1058</v>
      </c>
      <c r="B72" s="13" t="s">
        <v>1025</v>
      </c>
      <c r="C72" s="61"/>
      <c r="D72" s="61" t="n">
        <v>3354135472</v>
      </c>
      <c r="E72" s="61" t="n">
        <v>3081837214</v>
      </c>
      <c r="F72" s="61" t="n">
        <v>4211795765</v>
      </c>
      <c r="G72" s="61" t="n">
        <v>4574711448</v>
      </c>
      <c r="H72" s="61" t="n">
        <v>5698895075</v>
      </c>
      <c r="I72" s="15" t="s">
        <v>1019</v>
      </c>
    </row>
    <row r="73" customFormat="false" ht="15" hidden="false" customHeight="false" outlineLevel="0" collapsed="false">
      <c r="A73" s="54" t="s">
        <v>1059</v>
      </c>
      <c r="B73" s="13" t="s">
        <v>1060</v>
      </c>
      <c r="C73" s="61"/>
      <c r="D73" s="61" t="n">
        <v>15555449947</v>
      </c>
      <c r="E73" s="61" t="n">
        <v>4698230515</v>
      </c>
      <c r="F73" s="61" t="n">
        <v>2706916304</v>
      </c>
      <c r="G73" s="61" t="n">
        <v>3606914936</v>
      </c>
      <c r="H73" s="61" t="n">
        <v>3639480216</v>
      </c>
      <c r="I73" s="15" t="s">
        <v>1019</v>
      </c>
    </row>
    <row r="74" customFormat="false" ht="15" hidden="false" customHeight="false" outlineLevel="0" collapsed="false">
      <c r="A74" s="54" t="s">
        <v>1061</v>
      </c>
      <c r="B74" s="13" t="s">
        <v>1062</v>
      </c>
      <c r="C74" s="61"/>
      <c r="D74" s="61"/>
      <c r="E74" s="61"/>
      <c r="F74" s="61" t="n">
        <v>939064484</v>
      </c>
      <c r="G74" s="61" t="n">
        <v>1647697571</v>
      </c>
      <c r="H74" s="61" t="n">
        <v>2111881932</v>
      </c>
      <c r="I74" s="15" t="s">
        <v>1019</v>
      </c>
    </row>
    <row r="75" customFormat="false" ht="15" hidden="false" customHeight="false" outlineLevel="0" collapsed="false">
      <c r="A75" s="54" t="s">
        <v>1063</v>
      </c>
      <c r="B75" s="13" t="s">
        <v>1064</v>
      </c>
      <c r="C75" s="61"/>
      <c r="D75" s="61"/>
      <c r="E75" s="61"/>
      <c r="F75" s="61" t="n">
        <v>536612723</v>
      </c>
      <c r="G75" s="61" t="n">
        <v>2178991329</v>
      </c>
      <c r="H75" s="61" t="n">
        <v>2516415662</v>
      </c>
      <c r="I75" s="15" t="s">
        <v>1019</v>
      </c>
    </row>
    <row r="76" customFormat="false" ht="15" hidden="false" customHeight="false" outlineLevel="0" collapsed="false">
      <c r="A76" s="54" t="s">
        <v>1065</v>
      </c>
      <c r="B76" s="13" t="s">
        <v>1041</v>
      </c>
      <c r="C76" s="61"/>
      <c r="D76" s="61" t="n">
        <v>145000436678</v>
      </c>
      <c r="E76" s="61" t="n">
        <v>137738459043</v>
      </c>
      <c r="F76" s="61" t="n">
        <v>153026530241</v>
      </c>
      <c r="G76" s="61" t="n">
        <v>214434696643</v>
      </c>
      <c r="H76" s="61" t="n">
        <v>224594016289</v>
      </c>
      <c r="I76" s="15" t="s">
        <v>1019</v>
      </c>
    </row>
    <row r="77" customFormat="false" ht="15" hidden="false" customHeight="false" outlineLevel="0" collapsed="false">
      <c r="A77" s="54" t="s">
        <v>1066</v>
      </c>
      <c r="B77" s="13" t="s">
        <v>1067</v>
      </c>
      <c r="C77" s="61"/>
      <c r="D77" s="61" t="n">
        <v>53094153182</v>
      </c>
      <c r="E77" s="61" t="n">
        <v>59635290511</v>
      </c>
      <c r="F77" s="61"/>
      <c r="G77" s="61"/>
      <c r="H77" s="61"/>
      <c r="I77" s="15" t="s">
        <v>1038</v>
      </c>
    </row>
    <row r="78" customFormat="false" ht="15" hidden="false" customHeight="false" outlineLevel="0" collapsed="false">
      <c r="A78" s="54" t="s">
        <v>1068</v>
      </c>
      <c r="B78" s="13" t="s">
        <v>1069</v>
      </c>
      <c r="C78" s="61"/>
      <c r="D78" s="61" t="n">
        <v>125139592</v>
      </c>
      <c r="E78" s="61" t="n">
        <v>246526587</v>
      </c>
      <c r="F78" s="61"/>
      <c r="G78" s="61"/>
      <c r="H78" s="61"/>
      <c r="I78" s="15" t="s">
        <v>1038</v>
      </c>
    </row>
    <row r="79" customFormat="false" ht="15" hidden="false" customHeight="false" outlineLevel="0" collapsed="false">
      <c r="A79" s="54" t="s">
        <v>1070</v>
      </c>
      <c r="B79" s="13" t="s">
        <v>1071</v>
      </c>
      <c r="C79" s="61"/>
      <c r="D79" s="61" t="n">
        <v>710518325</v>
      </c>
      <c r="E79" s="61" t="n">
        <v>568195381</v>
      </c>
      <c r="F79" s="61"/>
      <c r="G79" s="61"/>
      <c r="H79" s="61"/>
      <c r="I79" s="15" t="s">
        <v>1038</v>
      </c>
    </row>
    <row r="80" customFormat="false" ht="15" hidden="false" customHeight="false" outlineLevel="0" collapsed="false">
      <c r="A80" s="64" t="s">
        <v>1072</v>
      </c>
      <c r="B80" s="65" t="s">
        <v>1047</v>
      </c>
      <c r="C80" s="70"/>
      <c r="D80" s="67" t="n">
        <f aca="false">N(D67)+N(D68)+N(D69)+N(D70)+N(D71)+N(D72)+N(D73)+N(D74)+N(D75)+N(D77)+N(D78)+N(D79)</f>
        <v>145000436678</v>
      </c>
      <c r="E80" s="67" t="n">
        <f aca="false">N(E67)+N(E68)+N(E69)+N(E70)+N(E71)+N(E72)+N(E73)+N(E74)+N(E75)+N(E77)+N(E78)+N(E79)</f>
        <v>137738459043</v>
      </c>
      <c r="F80" s="67" t="n">
        <f aca="false">N(F67)+N(F68)+N(F69)+N(F70)+N(F71)+N(F72)+N(F73)+N(F74)+N(F75)+N(F77)+N(F78)+N(F79)</f>
        <v>153026530241</v>
      </c>
      <c r="G80" s="67" t="n">
        <f aca="false">N(G67)+N(G68)+N(G69)+N(G70)+N(G71)+N(G72)+N(G73)+N(G74)+N(G75)+N(G77)+N(G78)+N(G79)</f>
        <v>214434696643</v>
      </c>
      <c r="H80" s="67" t="n">
        <f aca="false">N(H67)+N(H68)+N(H69)+N(H70)+N(H71)+N(H72)+N(H73)+N(H74)+N(H75)+N(H77)+N(H78)+N(H79)</f>
        <v>224594016289</v>
      </c>
    </row>
    <row r="81" customFormat="false" ht="15" hidden="false" customHeight="false" outlineLevel="0" collapsed="false">
      <c r="B81" s="4" t="s">
        <v>1073</v>
      </c>
    </row>
    <row r="82" customFormat="false" ht="15" hidden="false" customHeight="false" outlineLevel="0" collapsed="false">
      <c r="A82" s="54" t="s">
        <v>1074</v>
      </c>
      <c r="B82" s="13" t="s">
        <v>1075</v>
      </c>
      <c r="C82" s="61"/>
      <c r="D82" s="61" t="n">
        <v>85818306730</v>
      </c>
      <c r="E82" s="61" t="n">
        <v>99952397980</v>
      </c>
      <c r="F82" s="61" t="n">
        <v>81959240386</v>
      </c>
      <c r="G82" s="61" t="n">
        <v>85978960899</v>
      </c>
      <c r="H82" s="61" t="n">
        <v>92658718016</v>
      </c>
      <c r="I82" s="15" t="s">
        <v>1076</v>
      </c>
    </row>
    <row r="83" customFormat="false" ht="15" hidden="false" customHeight="false" outlineLevel="0" collapsed="false">
      <c r="A83" s="54" t="s">
        <v>1077</v>
      </c>
      <c r="B83" s="13" t="s">
        <v>1078</v>
      </c>
      <c r="C83" s="61"/>
      <c r="D83" s="61" t="n">
        <v>9763891570</v>
      </c>
      <c r="E83" s="61" t="n">
        <v>11421360978</v>
      </c>
      <c r="F83" s="61" t="n">
        <v>8370960501</v>
      </c>
      <c r="G83" s="61" t="n">
        <v>9558630021</v>
      </c>
      <c r="H83" s="61" t="n">
        <v>10208488621</v>
      </c>
      <c r="I83" s="15" t="s">
        <v>1076</v>
      </c>
    </row>
    <row r="84" customFormat="false" ht="15" hidden="false" customHeight="false" outlineLevel="0" collapsed="false">
      <c r="A84" s="54" t="s">
        <v>1079</v>
      </c>
      <c r="B84" s="13" t="s">
        <v>1080</v>
      </c>
      <c r="C84" s="61"/>
      <c r="D84" s="61" t="n">
        <v>5942785615</v>
      </c>
      <c r="E84" s="61" t="n">
        <v>6025579971</v>
      </c>
      <c r="F84" s="61" t="n">
        <v>6553903145</v>
      </c>
      <c r="G84" s="61" t="n">
        <v>5145841539</v>
      </c>
      <c r="H84" s="61" t="n">
        <v>8684458803</v>
      </c>
      <c r="I84" s="15" t="s">
        <v>1076</v>
      </c>
    </row>
    <row r="85" customFormat="false" ht="15" hidden="false" customHeight="false" outlineLevel="0" collapsed="false">
      <c r="A85" s="54" t="s">
        <v>1081</v>
      </c>
      <c r="B85" s="13" t="s">
        <v>1082</v>
      </c>
      <c r="C85" s="61"/>
      <c r="D85" s="61" t="n">
        <v>4507042360</v>
      </c>
      <c r="E85" s="61" t="n">
        <v>6162518826</v>
      </c>
      <c r="F85" s="61" t="n">
        <v>5197077888</v>
      </c>
      <c r="G85" s="61" t="n">
        <v>6317435530</v>
      </c>
      <c r="H85" s="61" t="n">
        <v>6877384908</v>
      </c>
      <c r="I85" s="15" t="s">
        <v>1076</v>
      </c>
    </row>
    <row r="86" customFormat="false" ht="15" hidden="false" customHeight="false" outlineLevel="0" collapsed="false">
      <c r="A86" s="54" t="s">
        <v>1083</v>
      </c>
      <c r="B86" s="13" t="s">
        <v>1084</v>
      </c>
      <c r="C86" s="61"/>
      <c r="D86" s="61" t="n">
        <v>4369026112</v>
      </c>
      <c r="E86" s="61" t="n">
        <v>6484828864</v>
      </c>
      <c r="F86" s="61" t="n">
        <v>4278404472</v>
      </c>
      <c r="G86" s="61" t="n">
        <v>5623125960</v>
      </c>
      <c r="H86" s="61" t="n">
        <v>5498673319</v>
      </c>
      <c r="I86" s="15" t="s">
        <v>1076</v>
      </c>
    </row>
    <row r="87" customFormat="false" ht="15" hidden="false" customHeight="false" outlineLevel="0" collapsed="false">
      <c r="A87" s="54" t="s">
        <v>1085</v>
      </c>
      <c r="B87" s="13" t="s">
        <v>1086</v>
      </c>
      <c r="C87" s="61"/>
      <c r="D87" s="61"/>
      <c r="E87" s="61"/>
      <c r="F87" s="61"/>
      <c r="G87" s="61" t="n">
        <v>5338785775</v>
      </c>
      <c r="H87" s="61" t="n">
        <v>5216750945</v>
      </c>
      <c r="I87" s="15" t="s">
        <v>1087</v>
      </c>
    </row>
    <row r="88" customFormat="false" ht="15" hidden="false" customHeight="false" outlineLevel="0" collapsed="false">
      <c r="A88" s="54" t="s">
        <v>1088</v>
      </c>
      <c r="B88" s="13" t="s">
        <v>1089</v>
      </c>
      <c r="C88" s="61"/>
      <c r="D88" s="61" t="n">
        <v>3926176298</v>
      </c>
      <c r="E88" s="61" t="n">
        <v>4669071950</v>
      </c>
      <c r="F88" s="61" t="n">
        <v>3758102796</v>
      </c>
      <c r="G88" s="61" t="n">
        <v>3933612468</v>
      </c>
      <c r="H88" s="61" t="n">
        <v>3453516677</v>
      </c>
      <c r="I88" s="15" t="s">
        <v>1076</v>
      </c>
    </row>
    <row r="89" customFormat="false" ht="15" hidden="false" customHeight="false" outlineLevel="0" collapsed="false">
      <c r="A89" s="54" t="s">
        <v>1090</v>
      </c>
      <c r="B89" s="13" t="s">
        <v>1091</v>
      </c>
      <c r="C89" s="61"/>
      <c r="D89" s="61" t="n">
        <v>2658729317</v>
      </c>
      <c r="E89" s="61" t="n">
        <v>4642857471</v>
      </c>
      <c r="F89" s="61" t="n">
        <v>4005700364</v>
      </c>
      <c r="G89" s="61" t="n">
        <v>3702882279</v>
      </c>
      <c r="H89" s="61" t="n">
        <v>3422715022</v>
      </c>
      <c r="I89" s="15" t="s">
        <v>1076</v>
      </c>
    </row>
    <row r="90" customFormat="false" ht="15" hidden="false" customHeight="false" outlineLevel="0" collapsed="false">
      <c r="A90" s="54" t="s">
        <v>1092</v>
      </c>
      <c r="B90" s="13" t="s">
        <v>1069</v>
      </c>
      <c r="C90" s="61"/>
      <c r="D90" s="61" t="n">
        <v>1480282020</v>
      </c>
      <c r="E90" s="61" t="n">
        <v>2339545176</v>
      </c>
      <c r="F90" s="61" t="n">
        <v>1689185119</v>
      </c>
      <c r="G90" s="61" t="n">
        <v>1882522806</v>
      </c>
      <c r="H90" s="61" t="n">
        <v>2251420455</v>
      </c>
      <c r="I90" s="15" t="s">
        <v>1076</v>
      </c>
    </row>
    <row r="91" customFormat="false" ht="15" hidden="false" customHeight="false" outlineLevel="0" collapsed="false">
      <c r="A91" s="54" t="s">
        <v>1093</v>
      </c>
      <c r="B91" s="13" t="s">
        <v>1094</v>
      </c>
      <c r="C91" s="61"/>
      <c r="D91" s="61" t="n">
        <v>1275741550</v>
      </c>
      <c r="E91" s="61" t="n">
        <v>2922718460</v>
      </c>
      <c r="F91" s="61" t="n">
        <v>2358340776</v>
      </c>
      <c r="G91" s="61" t="n">
        <v>1931654349</v>
      </c>
      <c r="H91" s="61" t="n">
        <v>2098802874</v>
      </c>
      <c r="I91" s="15" t="s">
        <v>1076</v>
      </c>
    </row>
    <row r="92" customFormat="false" ht="15" hidden="false" customHeight="false" outlineLevel="0" collapsed="false">
      <c r="A92" s="54" t="s">
        <v>1095</v>
      </c>
      <c r="B92" s="13" t="s">
        <v>1096</v>
      </c>
      <c r="C92" s="61"/>
      <c r="D92" s="61" t="n">
        <v>1225017764</v>
      </c>
      <c r="E92" s="61" t="n">
        <v>1632638548</v>
      </c>
      <c r="F92" s="61" t="n">
        <v>878382827</v>
      </c>
      <c r="G92" s="61" t="n">
        <v>993820632</v>
      </c>
      <c r="H92" s="61" t="n">
        <v>1206169626</v>
      </c>
      <c r="I92" s="15" t="s">
        <v>1076</v>
      </c>
    </row>
    <row r="93" customFormat="false" ht="15" hidden="false" customHeight="false" outlineLevel="0" collapsed="false">
      <c r="A93" s="54" t="s">
        <v>1097</v>
      </c>
      <c r="B93" s="13" t="s">
        <v>1098</v>
      </c>
      <c r="C93" s="61"/>
      <c r="D93" s="61" t="n">
        <v>1176299941</v>
      </c>
      <c r="E93" s="61" t="n">
        <v>1004755712</v>
      </c>
      <c r="F93" s="61" t="n">
        <v>574501190</v>
      </c>
      <c r="G93" s="61" t="n">
        <v>693852475</v>
      </c>
      <c r="H93" s="61" t="n">
        <v>935215228</v>
      </c>
      <c r="I93" s="15" t="s">
        <v>1076</v>
      </c>
    </row>
    <row r="94" customFormat="false" ht="15" hidden="false" customHeight="false" outlineLevel="0" collapsed="false">
      <c r="A94" s="54" t="s">
        <v>1099</v>
      </c>
      <c r="B94" s="13" t="s">
        <v>1100</v>
      </c>
      <c r="C94" s="61"/>
      <c r="D94" s="61" t="n">
        <v>251119287</v>
      </c>
      <c r="E94" s="61" t="n">
        <v>1060810675</v>
      </c>
      <c r="F94" s="61" t="n">
        <v>223192023</v>
      </c>
      <c r="G94" s="61" t="n">
        <v>374235696</v>
      </c>
      <c r="H94" s="61" t="n">
        <v>589380671</v>
      </c>
      <c r="I94" s="15" t="s">
        <v>1076</v>
      </c>
    </row>
    <row r="95" customFormat="false" ht="15" hidden="false" customHeight="false" outlineLevel="0" collapsed="false">
      <c r="A95" s="54" t="s">
        <v>1101</v>
      </c>
      <c r="B95" s="13" t="s">
        <v>1102</v>
      </c>
      <c r="C95" s="61"/>
      <c r="D95" s="61" t="n">
        <v>204179634</v>
      </c>
      <c r="E95" s="61" t="n">
        <v>621096579</v>
      </c>
      <c r="F95" s="61" t="n">
        <v>332356815</v>
      </c>
      <c r="G95" s="61" t="n">
        <v>490319995</v>
      </c>
      <c r="H95" s="61" t="n">
        <v>556438151</v>
      </c>
      <c r="I95" s="15" t="s">
        <v>1076</v>
      </c>
    </row>
    <row r="96" customFormat="false" ht="15" hidden="false" customHeight="false" outlineLevel="0" collapsed="false">
      <c r="A96" s="54" t="s">
        <v>1103</v>
      </c>
      <c r="B96" s="13" t="s">
        <v>1104</v>
      </c>
      <c r="C96" s="61"/>
      <c r="D96" s="61" t="n">
        <v>357160147</v>
      </c>
      <c r="E96" s="61" t="n">
        <v>532625844</v>
      </c>
      <c r="F96" s="61" t="n">
        <v>384759532</v>
      </c>
      <c r="G96" s="61" t="n">
        <v>408055398</v>
      </c>
      <c r="H96" s="61" t="n">
        <v>420312052</v>
      </c>
      <c r="I96" s="15" t="s">
        <v>1076</v>
      </c>
    </row>
    <row r="97" customFormat="false" ht="15" hidden="false" customHeight="false" outlineLevel="0" collapsed="false">
      <c r="A97" s="54" t="s">
        <v>1105</v>
      </c>
      <c r="B97" s="13" t="s">
        <v>1106</v>
      </c>
      <c r="C97" s="61"/>
      <c r="D97" s="61"/>
      <c r="E97" s="61"/>
      <c r="F97" s="61" t="n">
        <v>382896083</v>
      </c>
      <c r="G97" s="61" t="n">
        <v>1278126523</v>
      </c>
      <c r="H97" s="61" t="n">
        <v>20739873</v>
      </c>
      <c r="I97" s="15" t="s">
        <v>1076</v>
      </c>
    </row>
    <row r="98" customFormat="false" ht="15" hidden="false" customHeight="false" outlineLevel="0" collapsed="false">
      <c r="A98" s="54" t="s">
        <v>1107</v>
      </c>
      <c r="B98" s="13" t="s">
        <v>1064</v>
      </c>
      <c r="C98" s="61"/>
      <c r="D98" s="61" t="n">
        <v>2805427454</v>
      </c>
      <c r="E98" s="61" t="n">
        <v>1632304955</v>
      </c>
      <c r="F98" s="61" t="n">
        <v>653342618</v>
      </c>
      <c r="G98" s="61" t="n">
        <v>672536043</v>
      </c>
      <c r="H98" s="61" t="n">
        <v>1042532244</v>
      </c>
      <c r="I98" s="15" t="s">
        <v>1076</v>
      </c>
    </row>
    <row r="99" customFormat="false" ht="15" hidden="false" customHeight="false" outlineLevel="0" collapsed="false">
      <c r="A99" s="54" t="s">
        <v>1108</v>
      </c>
      <c r="B99" s="13" t="s">
        <v>1041</v>
      </c>
      <c r="C99" s="61"/>
      <c r="D99" s="61" t="n">
        <v>131835962281</v>
      </c>
      <c r="E99" s="61" t="n">
        <v>156823647433</v>
      </c>
      <c r="F99" s="61" t="n">
        <v>125793052442</v>
      </c>
      <c r="G99" s="61" t="n">
        <v>134515340769</v>
      </c>
      <c r="H99" s="61" t="n">
        <v>145141717485</v>
      </c>
      <c r="I99" s="15" t="s">
        <v>1076</v>
      </c>
    </row>
    <row r="100" customFormat="false" ht="15" hidden="false" customHeight="false" outlineLevel="0" collapsed="false">
      <c r="A100" s="54" t="s">
        <v>1109</v>
      </c>
      <c r="B100" s="13" t="s">
        <v>1110</v>
      </c>
      <c r="C100" s="61"/>
      <c r="D100" s="61" t="n">
        <v>262662138</v>
      </c>
      <c r="E100" s="61" t="n">
        <v>289257091</v>
      </c>
      <c r="F100" s="61" t="n">
        <v>175441235</v>
      </c>
      <c r="G100" s="61" t="n">
        <v>190942381</v>
      </c>
      <c r="H100" s="61"/>
      <c r="I100" s="15" t="s">
        <v>1076</v>
      </c>
    </row>
    <row r="101" customFormat="false" ht="15" hidden="false" customHeight="false" outlineLevel="0" collapsed="false">
      <c r="A101" s="54" t="s">
        <v>1111</v>
      </c>
      <c r="B101" s="13" t="s">
        <v>1112</v>
      </c>
      <c r="C101" s="61"/>
      <c r="D101" s="61" t="n">
        <v>4506984899</v>
      </c>
      <c r="E101" s="61" t="n">
        <v>5225360381</v>
      </c>
      <c r="F101" s="61" t="n">
        <v>4017264672</v>
      </c>
      <c r="G101" s="61"/>
      <c r="H101" s="61"/>
      <c r="I101" s="15" t="s">
        <v>1113</v>
      </c>
    </row>
    <row r="102" customFormat="false" ht="15" hidden="false" customHeight="false" outlineLevel="0" collapsed="false">
      <c r="A102" s="54" t="s">
        <v>1114</v>
      </c>
      <c r="B102" s="13" t="s">
        <v>1115</v>
      </c>
      <c r="C102" s="61"/>
      <c r="D102" s="61" t="n">
        <v>1305129445</v>
      </c>
      <c r="E102" s="61" t="n">
        <v>203917972</v>
      </c>
      <c r="F102" s="61"/>
      <c r="G102" s="61"/>
      <c r="H102" s="61"/>
      <c r="I102" s="15" t="s">
        <v>1116</v>
      </c>
    </row>
    <row r="103" customFormat="false" ht="15" hidden="false" customHeight="false" outlineLevel="0" collapsed="false">
      <c r="A103" s="64" t="s">
        <v>1117</v>
      </c>
      <c r="B103" s="65" t="s">
        <v>1047</v>
      </c>
      <c r="C103" s="70"/>
      <c r="D103" s="67" t="n">
        <f aca="false">N(D82)+N(D83)+N(D84)+N(D85)+N(D86)+N(D87)+N(D88)+N(D89)+N(D90)+N(D91)+N(D92)+N(D93)+N(D94)+N(D95)+N(D96)+N(D97)+N(D98)+N(D100)+N(D101)+N(D102)</f>
        <v>131835962281</v>
      </c>
      <c r="E103" s="67" t="n">
        <f aca="false">N(E82)+N(E83)+N(E84)+N(E85)+N(E86)+N(E87)+N(E88)+N(E89)+N(E90)+N(E91)+N(E92)+N(E93)+N(E94)+N(E95)+N(E96)+N(E97)+N(E98)+N(E100)+N(E101)+N(E102)</f>
        <v>156823647433</v>
      </c>
      <c r="F103" s="67" t="n">
        <f aca="false">N(F82)+N(F83)+N(F84)+N(F85)+N(F86)+N(F87)+N(F88)+N(F89)+N(F90)+N(F91)+N(F92)+N(F93)+N(F94)+N(F95)+N(F96)+N(F97)+N(F98)+N(F100)+N(F101)+N(F102)</f>
        <v>125793052442</v>
      </c>
      <c r="G103" s="67" t="n">
        <f aca="false">N(G82)+N(G83)+N(G84)+N(G85)+N(G86)+N(G87)+N(G88)+N(G89)+N(G90)+N(G91)+N(G92)+N(G93)+N(G94)+N(G95)+N(G96)+N(G97)+N(G98)+N(G100)+N(G101)+N(G102)</f>
        <v>134515340769</v>
      </c>
      <c r="H103" s="67" t="n">
        <f aca="false">N(H82)+N(H83)+N(H84)+N(H85)+N(H86)+N(H87)+N(H88)+N(H89)+N(H90)+N(H91)+N(H92)+N(H93)+N(H94)+N(H95)+N(H96)+N(H97)+N(H98)+N(H100)+N(H101)+N(H102)</f>
        <v>145141717485</v>
      </c>
    </row>
    <row r="104" customFormat="false" ht="15" hidden="false" customHeight="false" outlineLevel="0" collapsed="false">
      <c r="B104" s="4" t="s">
        <v>1118</v>
      </c>
    </row>
    <row r="105" customFormat="false" ht="15" hidden="false" customHeight="false" outlineLevel="0" collapsed="false">
      <c r="A105" s="54" t="s">
        <v>1119</v>
      </c>
      <c r="B105" s="13" t="s">
        <v>1120</v>
      </c>
      <c r="C105" s="61"/>
      <c r="D105" s="61" t="n">
        <v>6204209122</v>
      </c>
      <c r="E105" s="61" t="n">
        <v>1560967442</v>
      </c>
      <c r="F105" s="61" t="n">
        <v>1520809153</v>
      </c>
      <c r="G105" s="61" t="n">
        <v>2852619973</v>
      </c>
      <c r="H105" s="61" t="n">
        <v>7772297007</v>
      </c>
      <c r="I105" s="15" t="s">
        <v>1076</v>
      </c>
    </row>
    <row r="106" customFormat="false" ht="15" hidden="false" customHeight="false" outlineLevel="0" collapsed="false">
      <c r="A106" s="54" t="s">
        <v>1121</v>
      </c>
      <c r="B106" s="13" t="s">
        <v>1122</v>
      </c>
      <c r="C106" s="61"/>
      <c r="D106" s="61"/>
      <c r="E106" s="61"/>
      <c r="F106" s="61"/>
      <c r="G106" s="61"/>
      <c r="H106" s="61" t="n">
        <v>5500000000</v>
      </c>
      <c r="I106" s="15" t="s">
        <v>1116</v>
      </c>
    </row>
    <row r="107" customFormat="false" ht="15" hidden="false" customHeight="false" outlineLevel="0" collapsed="false">
      <c r="A107" s="54" t="s">
        <v>1123</v>
      </c>
      <c r="B107" s="13" t="s">
        <v>1124</v>
      </c>
      <c r="C107" s="61"/>
      <c r="D107" s="61" t="n">
        <v>2369510277</v>
      </c>
      <c r="E107" s="61" t="n">
        <v>8130811205</v>
      </c>
      <c r="F107" s="61" t="n">
        <v>5102465762</v>
      </c>
      <c r="G107" s="61" t="n">
        <v>3390090872</v>
      </c>
      <c r="H107" s="61" t="n">
        <v>2283094578</v>
      </c>
      <c r="I107" s="15" t="s">
        <v>1076</v>
      </c>
    </row>
    <row r="108" customFormat="false" ht="15" hidden="false" customHeight="false" outlineLevel="0" collapsed="false">
      <c r="A108" s="54" t="s">
        <v>1125</v>
      </c>
      <c r="B108" s="13" t="s">
        <v>1041</v>
      </c>
      <c r="C108" s="61"/>
      <c r="D108" s="61" t="n">
        <v>15781938577</v>
      </c>
      <c r="E108" s="61" t="n">
        <v>31784929332</v>
      </c>
      <c r="F108" s="61" t="n">
        <v>6623274915</v>
      </c>
      <c r="G108" s="61" t="n">
        <v>6242710845</v>
      </c>
      <c r="H108" s="61" t="n">
        <v>15555391585</v>
      </c>
      <c r="I108" s="15" t="s">
        <v>1076</v>
      </c>
    </row>
    <row r="109" customFormat="false" ht="15" hidden="false" customHeight="false" outlineLevel="0" collapsed="false">
      <c r="A109" s="54" t="s">
        <v>1126</v>
      </c>
      <c r="B109" s="13" t="s">
        <v>1127</v>
      </c>
      <c r="C109" s="61"/>
      <c r="D109" s="61" t="n">
        <v>7208219178</v>
      </c>
      <c r="E109" s="61" t="n">
        <v>22093150685</v>
      </c>
      <c r="F109" s="61" t="n">
        <v>0</v>
      </c>
      <c r="G109" s="61"/>
      <c r="H109" s="61"/>
      <c r="I109" s="15" t="s">
        <v>1113</v>
      </c>
    </row>
    <row r="110" customFormat="false" ht="15" hidden="false" customHeight="false" outlineLevel="0" collapsed="false">
      <c r="A110" s="64" t="s">
        <v>1128</v>
      </c>
      <c r="B110" s="65" t="s">
        <v>1047</v>
      </c>
      <c r="C110" s="70"/>
      <c r="D110" s="67" t="n">
        <f aca="false">N(D105)+N(D106)+N(D107)+N(D109)</f>
        <v>15781938577</v>
      </c>
      <c r="E110" s="67" t="n">
        <f aca="false">N(E105)+N(E106)+N(E107)+N(E109)</f>
        <v>31784929332</v>
      </c>
      <c r="F110" s="67" t="n">
        <f aca="false">N(F105)+N(F106)+N(F107)+N(F109)</f>
        <v>6623274915</v>
      </c>
      <c r="G110" s="67" t="n">
        <f aca="false">N(G105)+N(G106)+N(G107)+N(G109)</f>
        <v>6242710845</v>
      </c>
      <c r="H110" s="67" t="n">
        <f aca="false">N(H105)+N(H106)+N(H107)+N(H109)</f>
        <v>15555391585</v>
      </c>
    </row>
    <row r="111" customFormat="false" ht="15" hidden="false" customHeight="false" outlineLevel="0" collapsed="false">
      <c r="B111" s="4" t="s">
        <v>1129</v>
      </c>
    </row>
    <row r="112" customFormat="false" ht="15" hidden="false" customHeight="false" outlineLevel="0" collapsed="false">
      <c r="A112" s="54" t="s">
        <v>1130</v>
      </c>
      <c r="B112" s="13" t="s">
        <v>1131</v>
      </c>
      <c r="C112" s="61"/>
      <c r="D112" s="61" t="n">
        <v>18769998671</v>
      </c>
      <c r="E112" s="61" t="n">
        <v>34089628648</v>
      </c>
      <c r="F112" s="61" t="n">
        <v>19863980063</v>
      </c>
      <c r="G112" s="61" t="n">
        <v>25049518335</v>
      </c>
      <c r="H112" s="61" t="n">
        <v>38611085419</v>
      </c>
      <c r="I112" s="15" t="s">
        <v>1076</v>
      </c>
    </row>
    <row r="113" customFormat="false" ht="15" hidden="false" customHeight="false" outlineLevel="0" collapsed="false">
      <c r="A113" s="54" t="s">
        <v>1132</v>
      </c>
      <c r="B113" s="13" t="s">
        <v>1133</v>
      </c>
      <c r="C113" s="61"/>
      <c r="D113" s="61"/>
      <c r="E113" s="61"/>
      <c r="F113" s="61"/>
      <c r="G113" s="61"/>
      <c r="H113" s="61" t="n">
        <v>33231521739</v>
      </c>
      <c r="I113" s="15" t="s">
        <v>1116</v>
      </c>
    </row>
    <row r="114" customFormat="false" ht="15" hidden="false" customHeight="false" outlineLevel="0" collapsed="false">
      <c r="A114" s="54" t="s">
        <v>1134</v>
      </c>
      <c r="B114" s="13" t="s">
        <v>1135</v>
      </c>
      <c r="C114" s="61"/>
      <c r="D114" s="61" t="n">
        <v>6661985970</v>
      </c>
      <c r="E114" s="61" t="n">
        <v>55243400694</v>
      </c>
      <c r="F114" s="61" t="n">
        <v>55911107068</v>
      </c>
      <c r="G114" s="61" t="n">
        <v>49515818841</v>
      </c>
      <c r="H114" s="61" t="n">
        <v>4679666667</v>
      </c>
      <c r="I114" s="15" t="s">
        <v>1076</v>
      </c>
    </row>
    <row r="115" customFormat="false" ht="15" hidden="false" customHeight="false" outlineLevel="0" collapsed="false">
      <c r="A115" s="54" t="s">
        <v>1136</v>
      </c>
      <c r="B115" s="13" t="s">
        <v>1137</v>
      </c>
      <c r="C115" s="61"/>
      <c r="D115" s="61" t="n">
        <v>406739901</v>
      </c>
      <c r="E115" s="61" t="n">
        <v>813302775</v>
      </c>
      <c r="F115" s="61" t="n">
        <v>1082569357</v>
      </c>
      <c r="G115" s="61" t="n">
        <v>2749679832</v>
      </c>
      <c r="H115" s="61" t="n">
        <v>2014157854</v>
      </c>
      <c r="I115" s="15" t="s">
        <v>1076</v>
      </c>
    </row>
    <row r="116" customFormat="false" ht="15" hidden="false" customHeight="false" outlineLevel="0" collapsed="false">
      <c r="A116" s="54" t="s">
        <v>1138</v>
      </c>
      <c r="B116" s="13" t="s">
        <v>1139</v>
      </c>
      <c r="C116" s="61"/>
      <c r="D116" s="61"/>
      <c r="E116" s="61"/>
      <c r="F116" s="61"/>
      <c r="G116" s="61"/>
      <c r="H116" s="61" t="n">
        <v>1820532404</v>
      </c>
      <c r="I116" s="15" t="s">
        <v>1116</v>
      </c>
    </row>
    <row r="117" customFormat="false" ht="15" hidden="false" customHeight="false" outlineLevel="0" collapsed="false">
      <c r="A117" s="54" t="s">
        <v>1140</v>
      </c>
      <c r="B117" s="13" t="s">
        <v>1041</v>
      </c>
      <c r="C117" s="61"/>
      <c r="D117" s="61" t="n">
        <v>25838724542</v>
      </c>
      <c r="E117" s="61" t="n">
        <v>90146332117</v>
      </c>
      <c r="F117" s="61" t="n">
        <v>76857656488</v>
      </c>
      <c r="G117" s="61" t="n">
        <v>77315017008</v>
      </c>
      <c r="H117" s="61" t="n">
        <v>80356964083</v>
      </c>
      <c r="I117" s="15" t="s">
        <v>1076</v>
      </c>
    </row>
    <row r="118" customFormat="false" ht="15" hidden="false" customHeight="false" outlineLevel="0" collapsed="false">
      <c r="A118" s="64" t="s">
        <v>1141</v>
      </c>
      <c r="B118" s="65" t="s">
        <v>1047</v>
      </c>
      <c r="C118" s="70"/>
      <c r="D118" s="67" t="n">
        <f aca="false">N(D112)+N(D113)+N(D114)+N(D115)+N(D116)</f>
        <v>25838724542</v>
      </c>
      <c r="E118" s="67" t="n">
        <f aca="false">N(E112)+N(E113)+N(E114)+N(E115)+N(E116)</f>
        <v>90146332117</v>
      </c>
      <c r="F118" s="67" t="n">
        <f aca="false">N(F112)+N(F113)+N(F114)+N(F115)+N(F116)</f>
        <v>76857656488</v>
      </c>
      <c r="G118" s="67" t="n">
        <f aca="false">N(G112)+N(G113)+N(G114)+N(G115)+N(G116)</f>
        <v>77315017008</v>
      </c>
      <c r="H118" s="67" t="n">
        <f aca="false">N(H112)+N(H113)+N(H114)+N(H115)+N(H116)</f>
        <v>80356964083</v>
      </c>
    </row>
    <row r="119" customFormat="false" ht="15" hidden="false" customHeight="false" outlineLevel="0" collapsed="false">
      <c r="B119" s="4" t="s">
        <v>1142</v>
      </c>
    </row>
    <row r="120" customFormat="false" ht="15" hidden="false" customHeight="false" outlineLevel="0" collapsed="false">
      <c r="A120" s="54" t="s">
        <v>1143</v>
      </c>
      <c r="B120" s="13" t="s">
        <v>1144</v>
      </c>
      <c r="C120" s="61"/>
      <c r="D120" s="61"/>
      <c r="E120" s="61"/>
      <c r="F120" s="61" t="n">
        <v>120000000</v>
      </c>
      <c r="G120" s="61" t="n">
        <v>360000000</v>
      </c>
      <c r="H120" s="61" t="n">
        <v>360000000</v>
      </c>
      <c r="I120" s="15" t="s">
        <v>1076</v>
      </c>
    </row>
    <row r="121" customFormat="false" ht="15" hidden="false" customHeight="false" outlineLevel="0" collapsed="false">
      <c r="A121" s="54" t="s">
        <v>1145</v>
      </c>
      <c r="B121" s="13" t="s">
        <v>1146</v>
      </c>
      <c r="C121" s="61"/>
      <c r="D121" s="61"/>
      <c r="E121" s="61"/>
      <c r="F121" s="61"/>
      <c r="G121" s="61"/>
      <c r="H121" s="61" t="n">
        <v>49840645</v>
      </c>
      <c r="I121" s="15" t="s">
        <v>1116</v>
      </c>
    </row>
    <row r="122" customFormat="false" ht="15" hidden="false" customHeight="false" outlineLevel="0" collapsed="false">
      <c r="A122" s="54" t="s">
        <v>1147</v>
      </c>
      <c r="B122" s="13" t="s">
        <v>1148</v>
      </c>
      <c r="C122" s="61"/>
      <c r="D122" s="61"/>
      <c r="E122" s="61"/>
      <c r="F122" s="61"/>
      <c r="G122" s="61" t="n">
        <v>1428319128</v>
      </c>
      <c r="H122" s="61" t="n">
        <v>2447195552</v>
      </c>
      <c r="I122" s="15" t="s">
        <v>1087</v>
      </c>
    </row>
    <row r="123" customFormat="false" ht="15" hidden="false" customHeight="false" outlineLevel="0" collapsed="false">
      <c r="A123" s="54" t="s">
        <v>1149</v>
      </c>
      <c r="B123" s="13" t="s">
        <v>1041</v>
      </c>
      <c r="C123" s="61"/>
      <c r="D123" s="61" t="n">
        <v>2465367652</v>
      </c>
      <c r="E123" s="61" t="n">
        <v>25636825732</v>
      </c>
      <c r="F123" s="61" t="n">
        <v>250325287</v>
      </c>
      <c r="G123" s="61" t="n">
        <v>25235874672</v>
      </c>
      <c r="H123" s="61" t="n">
        <v>2857036197</v>
      </c>
      <c r="I123" s="15" t="s">
        <v>1076</v>
      </c>
    </row>
    <row r="124" customFormat="false" ht="15" hidden="false" customHeight="false" outlineLevel="0" collapsed="false">
      <c r="A124" s="54" t="s">
        <v>1150</v>
      </c>
      <c r="B124" s="13" t="s">
        <v>1151</v>
      </c>
      <c r="C124" s="61"/>
      <c r="D124" s="61"/>
      <c r="E124" s="61"/>
      <c r="F124" s="61" t="n">
        <v>0</v>
      </c>
      <c r="G124" s="61" t="n">
        <v>23447555544</v>
      </c>
      <c r="H124" s="61"/>
      <c r="I124" s="15" t="s">
        <v>1152</v>
      </c>
    </row>
    <row r="125" customFormat="false" ht="15" hidden="false" customHeight="false" outlineLevel="0" collapsed="false">
      <c r="A125" s="54" t="s">
        <v>1153</v>
      </c>
      <c r="B125" s="13" t="s">
        <v>1154</v>
      </c>
      <c r="C125" s="61"/>
      <c r="D125" s="61"/>
      <c r="E125" s="61"/>
      <c r="F125" s="61" t="n">
        <v>72000000</v>
      </c>
      <c r="G125" s="61" t="n">
        <v>0</v>
      </c>
      <c r="H125" s="61"/>
      <c r="I125" s="15" t="s">
        <v>1152</v>
      </c>
    </row>
    <row r="126" customFormat="false" ht="15" hidden="false" customHeight="false" outlineLevel="0" collapsed="false">
      <c r="A126" s="54" t="s">
        <v>1155</v>
      </c>
      <c r="B126" s="13" t="s">
        <v>1156</v>
      </c>
      <c r="C126" s="61"/>
      <c r="D126" s="61" t="n">
        <v>-287416758</v>
      </c>
      <c r="E126" s="61" t="n">
        <v>240506745</v>
      </c>
      <c r="F126" s="61" t="n">
        <v>58325287</v>
      </c>
      <c r="G126" s="61"/>
      <c r="H126" s="61"/>
      <c r="I126" s="15" t="s">
        <v>1113</v>
      </c>
    </row>
    <row r="127" customFormat="false" ht="15" hidden="false" customHeight="false" outlineLevel="0" collapsed="false">
      <c r="A127" s="54" t="s">
        <v>1157</v>
      </c>
      <c r="B127" s="13" t="s">
        <v>1158</v>
      </c>
      <c r="C127" s="61"/>
      <c r="D127" s="61" t="n">
        <v>0</v>
      </c>
      <c r="E127" s="61" t="n">
        <v>25373975237</v>
      </c>
      <c r="F127" s="61"/>
      <c r="G127" s="61"/>
      <c r="H127" s="61"/>
      <c r="I127" s="15" t="s">
        <v>1116</v>
      </c>
    </row>
    <row r="128" customFormat="false" ht="15" hidden="false" customHeight="false" outlineLevel="0" collapsed="false">
      <c r="A128" s="54" t="s">
        <v>1159</v>
      </c>
      <c r="B128" s="13" t="s">
        <v>1160</v>
      </c>
      <c r="C128" s="61"/>
      <c r="D128" s="61" t="n">
        <v>76361881</v>
      </c>
      <c r="E128" s="61" t="n">
        <v>22343750</v>
      </c>
      <c r="F128" s="61"/>
      <c r="G128" s="61"/>
      <c r="H128" s="61"/>
      <c r="I128" s="15" t="s">
        <v>1116</v>
      </c>
    </row>
    <row r="129" customFormat="false" ht="15" hidden="false" customHeight="false" outlineLevel="0" collapsed="false">
      <c r="A129" s="54" t="s">
        <v>1161</v>
      </c>
      <c r="B129" s="13" t="s">
        <v>1162</v>
      </c>
      <c r="C129" s="61"/>
      <c r="D129" s="61" t="n">
        <v>2676422529</v>
      </c>
      <c r="E129" s="61" t="n">
        <v>0</v>
      </c>
      <c r="F129" s="61"/>
      <c r="G129" s="61"/>
      <c r="H129" s="61"/>
      <c r="I129" s="15" t="s">
        <v>1116</v>
      </c>
    </row>
    <row r="130" customFormat="false" ht="15" hidden="false" customHeight="false" outlineLevel="0" collapsed="false">
      <c r="A130" s="64" t="s">
        <v>1163</v>
      </c>
      <c r="B130" s="65" t="s">
        <v>1047</v>
      </c>
      <c r="C130" s="70"/>
      <c r="D130" s="67" t="n">
        <f aca="false">N(D120)+N(D121)+N(D122)+N(D124)+N(D125)+N(D126)+N(D127)+N(D128)+N(D129)</f>
        <v>2465367652</v>
      </c>
      <c r="E130" s="67" t="n">
        <f aca="false">N(E120)+N(E121)+N(E122)+N(E124)+N(E125)+N(E126)+N(E127)+N(E128)+N(E129)</f>
        <v>25636825732</v>
      </c>
      <c r="F130" s="67" t="n">
        <f aca="false">N(F120)+N(F121)+N(F122)+N(F124)+N(F125)+N(F126)+N(F127)+N(F128)+N(F129)</f>
        <v>250325287</v>
      </c>
      <c r="G130" s="67" t="n">
        <f aca="false">N(G120)+N(G121)+N(G122)+N(G124)+N(G125)+N(G126)+N(G127)+N(G128)+N(G129)</f>
        <v>25235874672</v>
      </c>
      <c r="H130" s="67" t="n">
        <f aca="false">N(H120)+N(H121)+N(H122)+N(H124)+N(H125)+N(H126)+N(H127)+N(H128)+N(H129)</f>
        <v>2857036197</v>
      </c>
    </row>
    <row r="131" customFormat="false" ht="15" hidden="false" customHeight="false" outlineLevel="0" collapsed="false">
      <c r="B131" s="4" t="s">
        <v>1164</v>
      </c>
    </row>
    <row r="132" customFormat="false" ht="15" hidden="false" customHeight="false" outlineLevel="0" collapsed="false">
      <c r="A132" s="54" t="s">
        <v>1165</v>
      </c>
      <c r="B132" s="13" t="s">
        <v>1166</v>
      </c>
      <c r="C132" s="100"/>
      <c r="D132" s="100" t="n">
        <v>6099193871</v>
      </c>
      <c r="E132" s="100" t="n">
        <v>-93543896993</v>
      </c>
      <c r="F132" s="100" t="n">
        <v>-110919788807</v>
      </c>
      <c r="G132" s="100" t="n">
        <v>-80309181321</v>
      </c>
      <c r="H132" s="100" t="n">
        <v>4952718308</v>
      </c>
      <c r="I132" s="15" t="s">
        <v>1167</v>
      </c>
    </row>
    <row r="133" customFormat="false" ht="15" hidden="false" customHeight="false" outlineLevel="0" collapsed="false">
      <c r="A133" s="54" t="s">
        <v>1168</v>
      </c>
      <c r="B133" s="13" t="s">
        <v>1169</v>
      </c>
      <c r="C133" s="100"/>
      <c r="D133" s="100" t="n">
        <v>33250000000</v>
      </c>
      <c r="E133" s="100" t="n">
        <v>33250000000</v>
      </c>
      <c r="F133" s="100" t="n">
        <v>33250000000</v>
      </c>
      <c r="G133" s="100" t="n">
        <v>33250000000</v>
      </c>
      <c r="H133" s="100" t="n">
        <v>33250000000</v>
      </c>
      <c r="I133" s="15" t="s">
        <v>1167</v>
      </c>
    </row>
    <row r="134" customFormat="false" ht="15" hidden="false" customHeight="false" outlineLevel="0" collapsed="false">
      <c r="A134" s="54" t="s">
        <v>1170</v>
      </c>
      <c r="B134" s="13" t="s">
        <v>1171</v>
      </c>
      <c r="C134" s="100"/>
      <c r="D134" s="100" t="n">
        <v>0.18</v>
      </c>
      <c r="E134" s="100" t="n">
        <v>-2.81</v>
      </c>
      <c r="F134" s="100" t="n">
        <v>-3.34</v>
      </c>
      <c r="G134" s="100" t="n">
        <v>-2.42</v>
      </c>
      <c r="H134" s="100" t="n">
        <v>0.15</v>
      </c>
      <c r="I134" s="15" t="s">
        <v>1167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J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9" min="3" style="0" width="16"/>
    <col collapsed="false" customWidth="true" hidden="false" outlineLevel="0" max="10" min="10" style="0" width="60"/>
  </cols>
  <sheetData>
    <row r="1" customFormat="false" ht="17.35" hidden="false" customHeight="false" outlineLevel="0" collapsed="false">
      <c r="A1" s="14" t="s">
        <v>1172</v>
      </c>
    </row>
    <row r="2" customFormat="false" ht="15" hidden="false" customHeight="false" outlineLevel="0" collapsed="false">
      <c r="A2" s="15" t="s">
        <v>1173</v>
      </c>
    </row>
    <row r="4" customFormat="false" ht="23.85" hidden="false" customHeight="false" outlineLevel="0" collapsed="false">
      <c r="A4" s="25" t="s">
        <v>318</v>
      </c>
      <c r="B4" s="25" t="s">
        <v>319</v>
      </c>
      <c r="C4" s="25" t="s">
        <v>130</v>
      </c>
      <c r="D4" s="25" t="s">
        <v>131</v>
      </c>
      <c r="E4" s="25" t="s">
        <v>132</v>
      </c>
      <c r="F4" s="25" t="s">
        <v>133</v>
      </c>
      <c r="G4" s="25" t="s">
        <v>134</v>
      </c>
      <c r="H4" s="25" t="s">
        <v>135</v>
      </c>
      <c r="I4" s="25" t="s">
        <v>1174</v>
      </c>
      <c r="J4" s="25" t="s">
        <v>1175</v>
      </c>
    </row>
    <row r="5" customFormat="false" ht="15" hidden="false" customHeight="false" outlineLevel="0" collapsed="false">
      <c r="A5" s="16"/>
      <c r="B5" s="17" t="s">
        <v>1176</v>
      </c>
      <c r="C5" s="16"/>
      <c r="D5" s="16"/>
      <c r="E5" s="16"/>
      <c r="F5" s="16"/>
      <c r="G5" s="16"/>
      <c r="H5" s="16"/>
      <c r="I5" s="16"/>
      <c r="J5" s="16"/>
    </row>
    <row r="6" customFormat="false" ht="15" hidden="false" customHeight="false" outlineLevel="0" collapsed="false">
      <c r="A6" s="54" t="s">
        <v>1177</v>
      </c>
      <c r="B6" s="13" t="s">
        <v>136</v>
      </c>
      <c r="C6" s="59"/>
      <c r="D6" s="46" t="n">
        <f aca="false">IFERROR(IS!D6/IS!C6-1,0)</f>
        <v>0.345074470059029</v>
      </c>
      <c r="E6" s="46" t="n">
        <f aca="false">IFERROR(IS!E6/IS!D6-1,0)</f>
        <v>-0.195795478662306</v>
      </c>
      <c r="F6" s="46" t="n">
        <f aca="false">IFERROR(IS!F6/IS!E6-1,0)</f>
        <v>0.0372271983537933</v>
      </c>
      <c r="G6" s="46" t="n">
        <f aca="false">IFERROR(IS!G6/IS!F6-1,0)</f>
        <v>0.314576232961193</v>
      </c>
      <c r="H6" s="46" t="n">
        <f aca="false">IFERROR(IS!H6/IS!G6-1,0)</f>
        <v>0.378434838237525</v>
      </c>
      <c r="I6" s="85" t="n">
        <f aca="false">AVERAGE(E6:H6)</f>
        <v>0.133610697722551</v>
      </c>
      <c r="J6" s="15"/>
    </row>
    <row r="7" customFormat="false" ht="15" hidden="false" customHeight="false" outlineLevel="0" collapsed="false">
      <c r="A7" s="54" t="s">
        <v>1178</v>
      </c>
      <c r="B7" s="13" t="s">
        <v>323</v>
      </c>
      <c r="C7" s="59"/>
      <c r="D7" s="59"/>
      <c r="E7" s="46" t="n">
        <f aca="false">IFERROR(Schedules!E6/Schedules!D6-1,0)</f>
        <v>-0.237802628797515</v>
      </c>
      <c r="F7" s="46" t="n">
        <f aca="false">IFERROR(Schedules!F6/Schedules!E6-1,0)</f>
        <v>0.0173502811914366</v>
      </c>
      <c r="G7" s="46" t="n">
        <f aca="false">IFERROR(Schedules!G6/Schedules!F6-1,0)</f>
        <v>0.306091604401874</v>
      </c>
      <c r="H7" s="46" t="n">
        <f aca="false">IFERROR(Schedules!H6/Schedules!G6-1,0)</f>
        <v>0.0344813094606018</v>
      </c>
      <c r="I7" s="85" t="n">
        <f aca="false">AVERAGE(E7:H7)</f>
        <v>0.0300301415640994</v>
      </c>
      <c r="J7" s="15"/>
    </row>
    <row r="8" customFormat="false" ht="15" hidden="false" customHeight="false" outlineLevel="0" collapsed="false">
      <c r="A8" s="54" t="s">
        <v>1179</v>
      </c>
      <c r="B8" s="13" t="s">
        <v>325</v>
      </c>
      <c r="C8" s="59"/>
      <c r="D8" s="59"/>
      <c r="E8" s="46" t="n">
        <f aca="false">IFERROR(Schedules!E7/Schedules!D7-1,0)</f>
        <v>-0.113746609898078</v>
      </c>
      <c r="F8" s="46" t="n">
        <f aca="false">IFERROR(Schedules!F7/Schedules!E7-1,0)</f>
        <v>-0.239020128126214</v>
      </c>
      <c r="G8" s="46" t="n">
        <f aca="false">IFERROR(Schedules!G7/Schedules!F7-1,0)</f>
        <v>0.337249098585522</v>
      </c>
      <c r="H8" s="46" t="n">
        <f aca="false">IFERROR(Schedules!H7/Schedules!G7-1,0)</f>
        <v>0.169465147237088</v>
      </c>
      <c r="I8" s="85" t="n">
        <f aca="false">AVERAGE(E8:H8)</f>
        <v>0.0384868769495793</v>
      </c>
      <c r="J8" s="15"/>
    </row>
    <row r="9" customFormat="false" ht="15" hidden="false" customHeight="false" outlineLevel="0" collapsed="false">
      <c r="A9" s="54" t="s">
        <v>1180</v>
      </c>
      <c r="B9" s="13" t="s">
        <v>106</v>
      </c>
      <c r="C9" s="59"/>
      <c r="D9" s="59"/>
      <c r="E9" s="46" t="n">
        <f aca="false">IFERROR((IS!E10+Schedules!E18)/(IS!D10+Schedules!D18)-1,0)</f>
        <v>-2.20125581241323</v>
      </c>
      <c r="F9" s="46" t="n">
        <f aca="false">IFERROR((IS!F10+Schedules!F18)/(IS!E10+Schedules!E18)-1,0)</f>
        <v>-0.61409808731992</v>
      </c>
      <c r="G9" s="46" t="n">
        <f aca="false">IFERROR((IS!G10+Schedules!G18)/(IS!F10+Schedules!F18)-1,0)</f>
        <v>-0.696858018988108</v>
      </c>
      <c r="H9" s="46" t="n">
        <f aca="false">IFERROR((IS!H10+Schedules!H18)/(IS!G10+Schedules!G18)-1,0)</f>
        <v>-22.8369788465078</v>
      </c>
      <c r="I9" s="85" t="n">
        <f aca="false">AVERAGE(E9:H9)</f>
        <v>-6.58729769130727</v>
      </c>
      <c r="J9" s="15"/>
    </row>
    <row r="10" customFormat="false" ht="15" hidden="false" customHeight="false" outlineLevel="0" collapsed="false">
      <c r="A10" s="54" t="s">
        <v>1181</v>
      </c>
      <c r="B10" s="13" t="s">
        <v>141</v>
      </c>
      <c r="C10" s="59"/>
      <c r="D10" s="46" t="n">
        <f aca="false">IFERROR(IS!D17/IS!C17-1,0)</f>
        <v>-0.564254230005554</v>
      </c>
      <c r="E10" s="46" t="n">
        <f aca="false">IFERROR(IS!E17/IS!D17-1,0)</f>
        <v>-16.1619875983921</v>
      </c>
      <c r="F10" s="46" t="n">
        <f aca="false">IFERROR(IS!F17/IS!E17-1,0)</f>
        <v>0.182517440609266</v>
      </c>
      <c r="G10" s="46" t="n">
        <f aca="false">IFERROR(IS!G17/IS!F17-1,0)</f>
        <v>-0.278001248401941</v>
      </c>
      <c r="H10" s="46" t="n">
        <f aca="false">IFERROR(IS!H17/IS!G17-1,0)</f>
        <v>-1.0643862000493</v>
      </c>
      <c r="I10" s="85" t="n">
        <f aca="false">AVERAGE(E10:H10)</f>
        <v>-4.33046440155851</v>
      </c>
      <c r="J10" s="15"/>
    </row>
    <row r="11" customFormat="false" ht="15" hidden="false" customHeight="false" outlineLevel="0" collapsed="false">
      <c r="A11" s="54" t="s">
        <v>1182</v>
      </c>
      <c r="B11" s="13" t="s">
        <v>142</v>
      </c>
      <c r="C11" s="59"/>
      <c r="D11" s="46" t="n">
        <f aca="false">IFERROR(IS!D24/IS!C24-1,0)</f>
        <v>-0.573865649417479</v>
      </c>
      <c r="E11" s="46" t="n">
        <f aca="false">IFERROR(IS!E24/IS!D24-1,0)</f>
        <v>-16.3370919127158</v>
      </c>
      <c r="F11" s="46" t="n">
        <f aca="false">IFERROR(IS!F24/IS!E24-1,0)</f>
        <v>0.185751207428319</v>
      </c>
      <c r="G11" s="46" t="n">
        <f aca="false">IFERROR(IS!G24/IS!F24-1,0)</f>
        <v>-0.275970661459357</v>
      </c>
      <c r="H11" s="46" t="n">
        <f aca="false">IFERROR(IS!H24/IS!G24-1,0)</f>
        <v>-1.06167063624025</v>
      </c>
      <c r="I11" s="85" t="n">
        <f aca="false">AVERAGE(E11:H11)</f>
        <v>-4.37224550074678</v>
      </c>
      <c r="J11" s="15"/>
    </row>
    <row r="12" customFormat="false" ht="15" hidden="false" customHeight="false" outlineLevel="0" collapsed="false">
      <c r="A12" s="16"/>
      <c r="B12" s="17" t="s">
        <v>1183</v>
      </c>
      <c r="C12" s="16"/>
      <c r="D12" s="16"/>
      <c r="E12" s="16"/>
      <c r="F12" s="16"/>
      <c r="G12" s="16"/>
      <c r="H12" s="16"/>
      <c r="I12" s="16"/>
      <c r="J12" s="16"/>
    </row>
    <row r="13" customFormat="false" ht="15" hidden="false" customHeight="false" outlineLevel="0" collapsed="false">
      <c r="A13" s="54" t="s">
        <v>1184</v>
      </c>
      <c r="B13" s="13" t="s">
        <v>1185</v>
      </c>
      <c r="C13" s="46" t="n">
        <f aca="false">IFERROR(IS!C8/IS!C6,0)</f>
        <v>0.475697229598051</v>
      </c>
      <c r="D13" s="46" t="n">
        <f aca="false">IFERROR(IS!D8/IS!D6,0)</f>
        <v>0.501604284180167</v>
      </c>
      <c r="E13" s="46" t="n">
        <f aca="false">IFERROR(IS!E8/IS!E6,0)</f>
        <v>0.41130045533183</v>
      </c>
      <c r="F13" s="46" t="n">
        <f aca="false">IFERROR(IS!F8/IS!F6,0)</f>
        <v>0.369432889803506</v>
      </c>
      <c r="G13" s="46" t="n">
        <f aca="false">IFERROR(IS!G8/IS!G6,0)</f>
        <v>0.32783814120166</v>
      </c>
      <c r="H13" s="46" t="n">
        <f aca="false">IFERROR(IS!H8/IS!H6,0)</f>
        <v>0.489270730069186</v>
      </c>
      <c r="I13" s="85" t="n">
        <f aca="false">AVERAGE(E13:H13)</f>
        <v>0.399460554101546</v>
      </c>
      <c r="J13" s="15"/>
    </row>
    <row r="14" customFormat="false" ht="15" hidden="false" customHeight="false" outlineLevel="0" collapsed="false">
      <c r="A14" s="54" t="s">
        <v>1186</v>
      </c>
      <c r="B14" s="13" t="s">
        <v>1187</v>
      </c>
      <c r="C14" s="46" t="n">
        <f aca="false">IFERROR(IS!C10/IS!C6,0)</f>
        <v>-0.0717404585230085</v>
      </c>
      <c r="D14" s="46" t="n">
        <f aca="false">IFERROR(IS!D10/IS!D6,0)</f>
        <v>0.048457519265598</v>
      </c>
      <c r="E14" s="46" t="n">
        <f aca="false">IFERROR(IS!E10/IS!E6,0)</f>
        <v>-0.258969928687691</v>
      </c>
      <c r="F14" s="46" t="n">
        <f aca="false">IFERROR(IS!F10/IS!F6,0)</f>
        <v>-0.148914885815703</v>
      </c>
      <c r="G14" s="46" t="n">
        <f aca="false">IFERROR(IS!G10/IS!G6,0)</f>
        <v>-0.0938104208251829</v>
      </c>
      <c r="H14" s="46" t="n">
        <f aca="false">IFERROR(IS!H10/IS!H6,0)</f>
        <v>0.159216863842256</v>
      </c>
      <c r="I14" s="85" t="n">
        <f aca="false">AVERAGE(E14:H14)</f>
        <v>-0.0856195928715801</v>
      </c>
      <c r="J14" s="15"/>
    </row>
    <row r="15" customFormat="false" ht="15" hidden="false" customHeight="false" outlineLevel="0" collapsed="false">
      <c r="A15" s="54" t="s">
        <v>1188</v>
      </c>
      <c r="B15" s="13" t="s">
        <v>1189</v>
      </c>
      <c r="C15" s="61"/>
      <c r="D15" s="50" t="n">
        <f aca="false">(IS!D10+Schedules!D18)</f>
        <v>31395271447</v>
      </c>
      <c r="E15" s="50" t="n">
        <f aca="false">(IS!E10+Schedules!E18)</f>
        <v>-37713752308</v>
      </c>
      <c r="F15" s="50" t="n">
        <f aca="false">(IS!F10+Schedules!F18)</f>
        <v>-14553809150</v>
      </c>
      <c r="G15" s="50" t="n">
        <f aca="false">(IS!G10+Schedules!G18)</f>
        <v>-4411870537</v>
      </c>
      <c r="H15" s="50" t="n">
        <f aca="false">(IS!H10+Schedules!H18)</f>
        <v>96341923590</v>
      </c>
      <c r="I15" s="84" t="n">
        <f aca="false">AVERAGE(E15:H15)</f>
        <v>9915622898.75</v>
      </c>
      <c r="J15" s="15" t="s">
        <v>1190</v>
      </c>
    </row>
    <row r="16" customFormat="false" ht="15" hidden="false" customHeight="false" outlineLevel="0" collapsed="false">
      <c r="A16" s="54" t="s">
        <v>1191</v>
      </c>
      <c r="B16" s="13" t="s">
        <v>178</v>
      </c>
      <c r="C16" s="59"/>
      <c r="D16" s="46" t="n">
        <f aca="false">IFERROR((IS!D10+Schedules!D18)/IS!D6,0)</f>
        <v>0.107911873540996</v>
      </c>
      <c r="E16" s="46" t="n">
        <f aca="false">IFERROR((IS!E10+Schedules!E18)/IS!E6,0)</f>
        <v>-0.161190047904606</v>
      </c>
      <c r="F16" s="46" t="n">
        <f aca="false">IFERROR((IS!F10+Schedules!F18)/IS!F6,0)</f>
        <v>-0.0599709956411727</v>
      </c>
      <c r="G16" s="46" t="n">
        <f aca="false">IFERROR((IS!G10+Schedules!G18)/IS!G6,0)</f>
        <v>-0.0138293436060146</v>
      </c>
      <c r="H16" s="46" t="n">
        <f aca="false">IFERROR((IS!H10+Schedules!H18)/IS!H6,0)</f>
        <v>0.219082596731055</v>
      </c>
      <c r="I16" s="85" t="n">
        <f aca="false">AVERAGE(E16:H16)</f>
        <v>-0.00397694760518449</v>
      </c>
      <c r="J16" s="15"/>
    </row>
    <row r="17" customFormat="false" ht="15" hidden="false" customHeight="false" outlineLevel="0" collapsed="false">
      <c r="A17" s="54" t="s">
        <v>1192</v>
      </c>
      <c r="B17" s="13" t="s">
        <v>372</v>
      </c>
      <c r="C17" s="46" t="n">
        <f aca="false">IFERROR(IS!C17/IS!C6,0)</f>
        <v>0.0655025746007945</v>
      </c>
      <c r="D17" s="46" t="n">
        <f aca="false">IFERROR(IS!D17/IS!D6,0)</f>
        <v>0.0212199922319462</v>
      </c>
      <c r="E17" s="46" t="n">
        <f aca="false">IFERROR(IS!E17/IS!E6,0)</f>
        <v>-0.400068950773337</v>
      </c>
      <c r="F17" s="46" t="n">
        <f aca="false">IFERROR(IS!F17/IS!F6,0)</f>
        <v>-0.456108856850814</v>
      </c>
      <c r="G17" s="46" t="n">
        <f aca="false">IFERROR(IS!G17/IS!G6,0)</f>
        <v>-0.250506602038063</v>
      </c>
      <c r="H17" s="46" t="n">
        <f aca="false">IFERROR(IS!H17/IS!H6,0)</f>
        <v>0.011701074105988</v>
      </c>
      <c r="I17" s="85" t="n">
        <f aca="false">AVERAGE(E17:H17)</f>
        <v>-0.273745833889056</v>
      </c>
      <c r="J17" s="15"/>
    </row>
    <row r="18" customFormat="false" ht="15" hidden="false" customHeight="false" outlineLevel="0" collapsed="false">
      <c r="A18" s="54" t="s">
        <v>1193</v>
      </c>
      <c r="B18" s="13" t="s">
        <v>1194</v>
      </c>
      <c r="C18" s="46" t="n">
        <f aca="false">IFERROR(IS!C24/IS!C6,0)</f>
        <v>0.0661724499751858</v>
      </c>
      <c r="D18" s="46" t="n">
        <f aca="false">IFERROR(IS!D24/IS!D6,0)</f>
        <v>0.0209641582115469</v>
      </c>
      <c r="E18" s="46" t="n">
        <f aca="false">IFERROR(IS!E24/IS!E6,0)</f>
        <v>-0.399810263225563</v>
      </c>
      <c r="F18" s="46" t="n">
        <f aca="false">IFERROR(IS!F24/IS!F6,0)</f>
        <v>-0.457060423323223</v>
      </c>
      <c r="G18" s="46" t="n">
        <f aca="false">IFERROR(IS!G24/IS!G6,0)</f>
        <v>-0.251735234271186</v>
      </c>
      <c r="H18" s="46" t="n">
        <f aca="false">IFERROR(IS!H24/IS!H6,0)</f>
        <v>0.0112625360524429</v>
      </c>
      <c r="I18" s="85" t="n">
        <f aca="false">AVERAGE(E18:H18)</f>
        <v>-0.274335846191882</v>
      </c>
      <c r="J18" s="15"/>
    </row>
    <row r="19" customFormat="false" ht="15" hidden="false" customHeight="false" outlineLevel="0" collapsed="false">
      <c r="A19" s="54" t="s">
        <v>1195</v>
      </c>
      <c r="B19" s="13" t="s">
        <v>1196</v>
      </c>
      <c r="C19" s="59"/>
      <c r="D19" s="46" t="n">
        <f aca="false">IFERROR(IS!D24/((BS!D45+BS!C45)/2),0)</f>
        <v>0.00185186406227988</v>
      </c>
      <c r="E19" s="46" t="n">
        <f aca="false">IFERROR(IS!E24/((BS!E45+BS!D45)/2),0)</f>
        <v>-0.0287687550609852</v>
      </c>
      <c r="F19" s="46" t="n">
        <f aca="false">IFERROR(IS!F24/((BS!F45+BS!E45)/2),0)</f>
        <v>-0.035199179915096</v>
      </c>
      <c r="G19" s="46" t="n">
        <f aca="false">IFERROR(IS!G24/((BS!G45+BS!F45)/2),0)</f>
        <v>-0.0262737369263451</v>
      </c>
      <c r="H19" s="46" t="n">
        <f aca="false">IFERROR(IS!H24/((BS!H45+BS!G45)/2),0)</f>
        <v>0.00164029602251767</v>
      </c>
      <c r="I19" s="85" t="n">
        <f aca="false">AVERAGE(E19:H19)</f>
        <v>-0.0221503439699772</v>
      </c>
      <c r="J19" s="15"/>
    </row>
    <row r="20" customFormat="false" ht="15" hidden="false" customHeight="false" outlineLevel="0" collapsed="false">
      <c r="A20" s="54" t="s">
        <v>1197</v>
      </c>
      <c r="B20" s="13" t="s">
        <v>1198</v>
      </c>
      <c r="C20" s="59"/>
      <c r="D20" s="46" t="n">
        <f aca="false">IFERROR(IS!D17/((BS!D21+BS!C21)/2),0)</f>
        <v>0.00161256864534925</v>
      </c>
      <c r="E20" s="46" t="n">
        <f aca="false">IFERROR(IS!E17/((BS!E21+BS!D21)/2),0)</f>
        <v>-0.0221658237926435</v>
      </c>
      <c r="F20" s="46" t="n">
        <f aca="false">IFERROR(IS!F17/((BS!F21+BS!E21)/2),0)</f>
        <v>-0.0264438099635362</v>
      </c>
      <c r="G20" s="46" t="n">
        <f aca="false">IFERROR(IS!G17/((BS!G21+BS!F21)/2),0)</f>
        <v>-0.0195920878104503</v>
      </c>
      <c r="H20" s="46" t="n">
        <f aca="false">IFERROR(IS!H17/((BS!H21+BS!G21)/2),0)</f>
        <v>0.00125547018728807</v>
      </c>
      <c r="I20" s="85" t="n">
        <f aca="false">AVERAGE(E20:H20)</f>
        <v>-0.0167365628448355</v>
      </c>
      <c r="J20" s="15"/>
    </row>
    <row r="21" customFormat="false" ht="15" hidden="false" customHeight="false" outlineLevel="0" collapsed="false">
      <c r="A21" s="54" t="s">
        <v>1199</v>
      </c>
      <c r="B21" s="13" t="s">
        <v>150</v>
      </c>
      <c r="C21" s="46" t="n">
        <f aca="false">IFERROR(-IS!C16/IS!C15,0)</f>
        <v>-0.0271984888467246</v>
      </c>
      <c r="D21" s="46" t="n">
        <f aca="false">IFERROR(-IS!D16/IS!D15,0)</f>
        <v>0.0511660783821087</v>
      </c>
      <c r="E21" s="46" t="n">
        <f aca="false">IFERROR(-IS!E16/IS!E15,0)</f>
        <v>-0.00309125458644539</v>
      </c>
      <c r="F21" s="46" t="n">
        <f aca="false">IFERROR(-IS!F16/IS!F15,0)</f>
        <v>-0.0430258191187451</v>
      </c>
      <c r="G21" s="46" t="n">
        <f aca="false">IFERROR(-IS!G16/IS!G15,0)</f>
        <v>-0.054817047912923</v>
      </c>
      <c r="H21" s="46" t="n">
        <f aca="false">IFERROR(-IS!H16/IS!H15,0)</f>
        <v>0.362488854265026</v>
      </c>
      <c r="I21" s="85" t="n">
        <f aca="false">AVERAGE(E21:H21)</f>
        <v>0.0653886831617282</v>
      </c>
      <c r="J21" s="15"/>
    </row>
    <row r="22" customFormat="false" ht="15" hidden="false" customHeight="false" outlineLevel="0" collapsed="false">
      <c r="A22" s="54" t="s">
        <v>1200</v>
      </c>
      <c r="B22" s="13" t="s">
        <v>1201</v>
      </c>
      <c r="C22" s="46" t="n">
        <f aca="false">IFERROR(IS!C25/IS!C17,0)</f>
        <v>-0.0102267029727283</v>
      </c>
      <c r="D22" s="46" t="n">
        <f aca="false">IFERROR(IS!D25/IS!D17,0)</f>
        <v>0.0120562730467997</v>
      </c>
      <c r="E22" s="46" t="n">
        <f aca="false">IFERROR(IS!E25/IS!E17,0)</f>
        <v>0.000646607409232634</v>
      </c>
      <c r="F22" s="46" t="n">
        <f aca="false">IFERROR(IS!F25/IS!F17,0)</f>
        <v>-0.00208627054291206</v>
      </c>
      <c r="G22" s="46" t="n">
        <f aca="false">IFERROR(IS!G25/IS!G17,0)</f>
        <v>-0.00490459023086542</v>
      </c>
      <c r="H22" s="46" t="n">
        <f aca="false">IFERROR(IS!H25/IS!H17,0)</f>
        <v>0.0374784442498859</v>
      </c>
      <c r="I22" s="85" t="n">
        <f aca="false">AVERAGE(E22:H22)</f>
        <v>0.00778354772133526</v>
      </c>
      <c r="J22" s="15"/>
    </row>
    <row r="23" customFormat="false" ht="15" hidden="false" customHeight="false" outlineLevel="0" collapsed="false">
      <c r="A23" s="54" t="s">
        <v>1202</v>
      </c>
      <c r="B23" s="13" t="s">
        <v>1203</v>
      </c>
      <c r="C23" s="46" t="n">
        <f aca="false">IFERROR(IS!C12/IS!C6,0)</f>
        <v>0.00246314277006964</v>
      </c>
      <c r="D23" s="46" t="n">
        <f aca="false">IFERROR(IS!D12/IS!D6,0)</f>
        <v>0.0084739653467818</v>
      </c>
      <c r="E23" s="46" t="n">
        <f aca="false">IFERROR(IS!E12/IS!E6,0)</f>
        <v>0.109572792813473</v>
      </c>
      <c r="F23" s="46" t="n">
        <f aca="false">IFERROR(IS!F12/IS!F6,0)</f>
        <v>0.00103150017571533</v>
      </c>
      <c r="G23" s="46" t="n">
        <f aca="false">IFERROR(IS!G12/IS!G6,0)</f>
        <v>0.0791037676900465</v>
      </c>
      <c r="H23" s="46" t="n">
        <f aca="false">IFERROR(IS!H12/IS!H6,0)</f>
        <v>0.00649693182022315</v>
      </c>
      <c r="I23" s="85" t="n">
        <f aca="false">AVERAGE(E23:H23)</f>
        <v>0.0490512481248644</v>
      </c>
      <c r="J23" s="15" t="s">
        <v>1204</v>
      </c>
    </row>
    <row r="24" customFormat="false" ht="15" hidden="false" customHeight="false" outlineLevel="0" collapsed="false">
      <c r="A24" s="16"/>
      <c r="B24" s="17" t="s">
        <v>1205</v>
      </c>
      <c r="C24" s="16"/>
      <c r="D24" s="16"/>
      <c r="E24" s="16"/>
      <c r="F24" s="16"/>
      <c r="G24" s="16"/>
      <c r="H24" s="16"/>
      <c r="I24" s="16"/>
      <c r="J24" s="16"/>
    </row>
    <row r="25" customFormat="false" ht="15" hidden="false" customHeight="false" outlineLevel="0" collapsed="false">
      <c r="A25" s="54" t="s">
        <v>1206</v>
      </c>
      <c r="B25" s="13" t="s">
        <v>1207</v>
      </c>
      <c r="C25" s="59"/>
      <c r="D25" s="46" t="n">
        <f aca="false">Schedules!D11</f>
        <v>0.300827548867532</v>
      </c>
      <c r="E25" s="46" t="n">
        <f aca="false">Schedules!E11</f>
        <v>0.33346318916381</v>
      </c>
      <c r="F25" s="46" t="n">
        <f aca="false">Schedules!F11</f>
        <v>0.272314214657611</v>
      </c>
      <c r="G25" s="46" t="n">
        <f aca="false">Schedules!G11</f>
        <v>0.277010894425371</v>
      </c>
      <c r="H25" s="46" t="n">
        <f aca="false">Schedules!H11</f>
        <v>0.302232162607019</v>
      </c>
      <c r="I25" s="85" t="n">
        <f aca="false">AVERAGE(E25:H25)</f>
        <v>0.296255115213453</v>
      </c>
      <c r="J25" s="15"/>
    </row>
    <row r="26" customFormat="false" ht="15" hidden="false" customHeight="false" outlineLevel="0" collapsed="false">
      <c r="A26" s="16"/>
      <c r="B26" s="17" t="s">
        <v>1208</v>
      </c>
      <c r="C26" s="16"/>
      <c r="D26" s="16"/>
      <c r="E26" s="16"/>
      <c r="F26" s="16"/>
      <c r="G26" s="16"/>
      <c r="H26" s="16"/>
      <c r="I26" s="16"/>
      <c r="J26" s="16"/>
    </row>
    <row r="27" customFormat="false" ht="15" hidden="false" customHeight="false" outlineLevel="0" collapsed="false">
      <c r="A27" s="54" t="s">
        <v>1209</v>
      </c>
      <c r="B27" s="13" t="s">
        <v>1210</v>
      </c>
      <c r="C27" s="44" t="n">
        <f aca="false">IFERROR(BS!C8/IS!C6*365,0)</f>
        <v>78.1577016375028</v>
      </c>
      <c r="D27" s="44" t="n">
        <f aca="false">IFERROR(BS!D8/IS!D6*365,0)</f>
        <v>54.4719962651353</v>
      </c>
      <c r="E27" s="44" t="n">
        <f aca="false">IFERROR(BS!E8/IS!E6*365,0)</f>
        <v>30.4109910035356</v>
      </c>
      <c r="F27" s="44" t="n">
        <f aca="false">IFERROR(BS!F8/IS!F6*365,0)</f>
        <v>44.764497762277</v>
      </c>
      <c r="G27" s="44" t="n">
        <f aca="false">IFERROR(BS!G8/IS!G6*365,0)</f>
        <v>44.9491665624392</v>
      </c>
      <c r="H27" s="44" t="n">
        <f aca="false">IFERROR(BS!H8/IS!H6*365,0)</f>
        <v>26.9046687003695</v>
      </c>
      <c r="I27" s="93" t="n">
        <f aca="false">AVERAGE(E27:H27)</f>
        <v>36.7573310071553</v>
      </c>
      <c r="J27" s="15"/>
    </row>
    <row r="28" customFormat="false" ht="15" hidden="false" customHeight="false" outlineLevel="0" collapsed="false">
      <c r="A28" s="54" t="s">
        <v>1211</v>
      </c>
      <c r="B28" s="13" t="s">
        <v>1212</v>
      </c>
      <c r="C28" s="44" t="n">
        <f aca="false">IFERROR(BS!C10/-IS!C7*365,0)</f>
        <v>22.1059907886812</v>
      </c>
      <c r="D28" s="44" t="n">
        <f aca="false">IFERROR(BS!D10/-IS!D7*365,0)</f>
        <v>15.4281249741879</v>
      </c>
      <c r="E28" s="44" t="n">
        <f aca="false">IFERROR(BS!E10/-IS!E7*365,0)</f>
        <v>10.0967467805113</v>
      </c>
      <c r="F28" s="44" t="n">
        <f aca="false">IFERROR(BS!F10/-IS!F7*365,0)</f>
        <v>11.3975246563338</v>
      </c>
      <c r="G28" s="44" t="n">
        <f aca="false">IFERROR(BS!G10/-IS!G7*365,0)</f>
        <v>10.6692318796427</v>
      </c>
      <c r="H28" s="44" t="n">
        <f aca="false">IFERROR(BS!H10/-IS!H7*365,0)</f>
        <v>8.68593592891969</v>
      </c>
      <c r="I28" s="93" t="n">
        <f aca="false">AVERAGE(E28:H28)</f>
        <v>10.2123598113519</v>
      </c>
      <c r="J28" s="15"/>
    </row>
    <row r="29" customFormat="false" ht="15" hidden="false" customHeight="false" outlineLevel="0" collapsed="false">
      <c r="A29" s="54" t="s">
        <v>1213</v>
      </c>
      <c r="B29" s="13" t="s">
        <v>1214</v>
      </c>
      <c r="C29" s="44" t="n">
        <f aca="false">IFERROR(BS!C24/-IS!C7*365,0)</f>
        <v>34.8310072476382</v>
      </c>
      <c r="D29" s="44" t="n">
        <f aca="false">IFERROR(BS!D24/-IS!D7*365,0)</f>
        <v>36.8944673593985</v>
      </c>
      <c r="E29" s="44" t="n">
        <f aca="false">IFERROR(BS!E24/-IS!E7*365,0)</f>
        <v>71.2189547266721</v>
      </c>
      <c r="F29" s="44" t="n">
        <f aca="false">IFERROR(BS!F24/-IS!F7*365,0)</f>
        <v>101.449758424671</v>
      </c>
      <c r="G29" s="44" t="n">
        <f aca="false">IFERROR(BS!G24/-IS!G7*365,0)</f>
        <v>42.760075087267</v>
      </c>
      <c r="H29" s="44" t="n">
        <f aca="false">IFERROR(BS!H24/-IS!H7*365,0)</f>
        <v>34.3737398667424</v>
      </c>
      <c r="I29" s="93" t="n">
        <f aca="false">AVERAGE(E29:H29)</f>
        <v>62.450632026338</v>
      </c>
      <c r="J29" s="15"/>
    </row>
    <row r="30" customFormat="false" ht="15" hidden="false" customHeight="false" outlineLevel="0" collapsed="false">
      <c r="A30" s="16"/>
      <c r="B30" s="17" t="s">
        <v>1215</v>
      </c>
      <c r="C30" s="16"/>
      <c r="D30" s="16"/>
      <c r="E30" s="16"/>
      <c r="F30" s="16"/>
      <c r="G30" s="16"/>
      <c r="H30" s="16"/>
      <c r="I30" s="16"/>
      <c r="J30" s="16"/>
    </row>
    <row r="31" customFormat="false" ht="15" hidden="false" customHeight="false" outlineLevel="0" collapsed="false">
      <c r="A31" s="54" t="s">
        <v>1216</v>
      </c>
      <c r="B31" s="13" t="s">
        <v>1217</v>
      </c>
      <c r="C31" s="48" t="n">
        <f aca="false">IFERROR(BS!C15/BS!C33,0)</f>
        <v>16.144294744184</v>
      </c>
      <c r="D31" s="48" t="n">
        <f aca="false">IFERROR(BS!D15/BS!D33,0)</f>
        <v>16.1508315768488</v>
      </c>
      <c r="E31" s="48" t="n">
        <f aca="false">IFERROR(BS!E15/BS!E33,0)</f>
        <v>4.13902759559618</v>
      </c>
      <c r="F31" s="48" t="n">
        <f aca="false">IFERROR(BS!F15/BS!F33,0)</f>
        <v>0.879236318170343</v>
      </c>
      <c r="G31" s="48" t="n">
        <f aca="false">IFERROR(BS!G15/BS!G33,0)</f>
        <v>0.621602946584569</v>
      </c>
      <c r="H31" s="48" t="n">
        <f aca="false">IFERROR(BS!H15/BS!H33,0)</f>
        <v>0.837104809039101</v>
      </c>
      <c r="I31" s="94" t="n">
        <f aca="false">AVERAGE(E31:H31)</f>
        <v>1.61924291734755</v>
      </c>
      <c r="J31" s="15"/>
    </row>
    <row r="32" customFormat="false" ht="15" hidden="false" customHeight="false" outlineLevel="0" collapsed="false">
      <c r="A32" s="54" t="s">
        <v>1218</v>
      </c>
      <c r="B32" s="13" t="s">
        <v>1219</v>
      </c>
      <c r="C32" s="50" t="n">
        <f aca="false">(BS!C23+BS!C30+BS!C34+BS!C31+BS!C35+BS!C32+BS!C36)</f>
        <v>116162740870</v>
      </c>
      <c r="D32" s="50" t="n">
        <f aca="false">(BS!D23+BS!D30+BS!D34+BS!D31+BS!D35+BS!D32+BS!D36)</f>
        <v>844063816090</v>
      </c>
      <c r="E32" s="50" t="n">
        <f aca="false">(BS!E23+BS!E30+BS!E34+BS!E31+BS!E35+BS!E32+BS!E36)</f>
        <v>957037296647</v>
      </c>
      <c r="F32" s="50" t="n">
        <f aca="false">(BS!F23+BS!F30+BS!F34+BS!F31+BS!F35+BS!F32+BS!F36)</f>
        <v>954514193129</v>
      </c>
      <c r="G32" s="50" t="n">
        <f aca="false">(BS!G23+BS!G30+BS!G34+BS!G31+BS!G35+BS!G32+BS!G36)</f>
        <v>944466599212</v>
      </c>
      <c r="H32" s="50" t="n">
        <f aca="false">(BS!H23+BS!H30+BS!H34+BS!H31+BS!H35+BS!H32+BS!H36)</f>
        <v>1083635029572</v>
      </c>
      <c r="I32" s="84" t="n">
        <f aca="false">AVERAGE(E32:H32)</f>
        <v>984913279640</v>
      </c>
      <c r="J32" s="15" t="s">
        <v>1220</v>
      </c>
    </row>
    <row r="33" customFormat="false" ht="15" hidden="false" customHeight="false" outlineLevel="0" collapsed="false">
      <c r="A33" s="54" t="s">
        <v>1221</v>
      </c>
      <c r="B33" s="13" t="s">
        <v>1222</v>
      </c>
      <c r="C33" s="50" t="n">
        <f aca="false">(BS!C6+BS!C7)</f>
        <v>725479693804</v>
      </c>
      <c r="D33" s="50" t="n">
        <f aca="false">(BS!D6+BS!D7)</f>
        <v>1192400475238</v>
      </c>
      <c r="E33" s="50" t="n">
        <f aca="false">(BS!E6+BS!E7)</f>
        <v>853208033479</v>
      </c>
      <c r="F33" s="50" t="n">
        <f aca="false">(BS!F6+BS!F7)</f>
        <v>754762948837</v>
      </c>
      <c r="G33" s="50" t="n">
        <f aca="false">(BS!G6+BS!G7)</f>
        <v>492069663731</v>
      </c>
      <c r="H33" s="50" t="n">
        <f aca="false">(BS!H6+BS!H7)</f>
        <v>470704094763</v>
      </c>
      <c r="I33" s="84" t="n">
        <f aca="false">AVERAGE(E33:H33)</f>
        <v>642686185202.5</v>
      </c>
      <c r="J33" s="15" t="s">
        <v>1220</v>
      </c>
    </row>
    <row r="34" customFormat="false" ht="15" hidden="false" customHeight="false" outlineLevel="0" collapsed="false">
      <c r="A34" s="54" t="s">
        <v>1223</v>
      </c>
      <c r="B34" s="13" t="s">
        <v>1224</v>
      </c>
      <c r="C34" s="50" t="n">
        <f aca="false">(BS!C23+BS!C30+BS!C34+BS!C31+BS!C35+BS!C32+BS!C36)+0-BS!C6</f>
        <v>-409316952934</v>
      </c>
      <c r="D34" s="50" t="n">
        <f aca="false">(BS!D23+BS!D30+BS!D34+BS!D31+BS!D35+BS!D32+BS!D36)+0-BS!D6</f>
        <v>301663340852</v>
      </c>
      <c r="E34" s="50" t="n">
        <f aca="false">(BS!E23+BS!E30+BS!E34+BS!E31+BS!E35+BS!E32+BS!E36)+0-BS!E6</f>
        <v>423829263168</v>
      </c>
      <c r="F34" s="50" t="n">
        <f aca="false">(BS!F23+BS!F30+BS!F34+BS!F31+BS!F35+BS!F32+BS!F36)+0-BS!F6</f>
        <v>428751244292</v>
      </c>
      <c r="G34" s="50" t="n">
        <f aca="false">(BS!G23+BS!G30+BS!G34+BS!G31+BS!G35+BS!G32+BS!G36)+0-BS!G6</f>
        <v>495396935481</v>
      </c>
      <c r="H34" s="50" t="n">
        <f aca="false">(BS!H23+BS!H30+BS!H34+BS!H31+BS!H35+BS!H32+BS!H36)+0-BS!H6</f>
        <v>663430934809</v>
      </c>
      <c r="I34" s="84" t="n">
        <f aca="false">AVERAGE(E34:H34)</f>
        <v>502852094437.5</v>
      </c>
      <c r="J34" s="15" t="s">
        <v>1225</v>
      </c>
    </row>
    <row r="35" customFormat="false" ht="15" hidden="false" customHeight="false" outlineLevel="0" collapsed="false">
      <c r="A35" s="54" t="s">
        <v>1226</v>
      </c>
      <c r="B35" s="13" t="s">
        <v>588</v>
      </c>
      <c r="C35" s="48" t="n">
        <f aca="false">IFERROR((BS!C23+BS!C30+BS!C34+BS!C31+BS!C35+BS!C32+BS!C36)/BS!C47,0)</f>
        <v>0.0352996971105421</v>
      </c>
      <c r="D35" s="48" t="n">
        <f aca="false">IFERROR((BS!D23+BS!D30+BS!D34+BS!D31+BS!D35+BS!D32+BS!D36)/BS!D47,0)</f>
        <v>0.255911240703869</v>
      </c>
      <c r="E35" s="48" t="n">
        <f aca="false">IFERROR((BS!E23+BS!E30+BS!E34+BS!E31+BS!E35+BS!E32+BS!E36)/BS!E47,0)</f>
        <v>0.298431426933193</v>
      </c>
      <c r="F35" s="48" t="n">
        <f aca="false">IFERROR((BS!F23+BS!F30+BS!F34+BS!F31+BS!F35+BS!F32+BS!F36)/BS!F47,0)</f>
        <v>0.308134033459282</v>
      </c>
      <c r="G35" s="48" t="n">
        <f aca="false">IFERROR((BS!G23+BS!G30+BS!G34+BS!G31+BS!G35+BS!G32+BS!G36)/BS!G47,0)</f>
        <v>0.312904425542693</v>
      </c>
      <c r="H35" s="48" t="n">
        <f aca="false">IFERROR((BS!H23+BS!H30+BS!H34+BS!H31+BS!H35+BS!H32+BS!H36)/BS!H47,0)</f>
        <v>0.358362039982173</v>
      </c>
      <c r="I35" s="94" t="n">
        <f aca="false">AVERAGE(E35:H35)</f>
        <v>0.319457981479335</v>
      </c>
      <c r="J35" s="15"/>
    </row>
    <row r="36" customFormat="false" ht="15" hidden="false" customHeight="false" outlineLevel="0" collapsed="false">
      <c r="A36" s="54" t="s">
        <v>1227</v>
      </c>
      <c r="B36" s="13" t="s">
        <v>182</v>
      </c>
      <c r="C36" s="74"/>
      <c r="D36" s="48" t="n">
        <f aca="false">IFERROR(((BS!D23+BS!D30+BS!D34+BS!D31+BS!D35+BS!D32+BS!D36)+0-BS!D6)/(IS!D10+Schedules!D18),0)</f>
        <v>9.60855972725873</v>
      </c>
      <c r="E36" s="48" t="n">
        <f aca="false">IFERROR(((BS!E23+BS!E30+BS!E34+BS!E31+BS!E35+BS!E32+BS!E36)+0-BS!E6)/(IS!E10+Schedules!E18),0)</f>
        <v>-11.2380560731979</v>
      </c>
      <c r="F36" s="48" t="n">
        <f aca="false">IFERROR(((BS!F23+BS!F30+BS!F34+BS!F31+BS!F35+BS!F32+BS!F36)+0-BS!F6)/(IS!F10+Schedules!F18),0)</f>
        <v>-29.4597269947023</v>
      </c>
      <c r="G36" s="48" t="n">
        <f aca="false">IFERROR(((BS!G23+BS!G30+BS!G34+BS!G31+BS!G35+BS!G32+BS!G36)+0-BS!G6)/(IS!G10+Schedules!G18),0)</f>
        <v>-112.287278451707</v>
      </c>
      <c r="H36" s="48" t="n">
        <f aca="false">IFERROR(((BS!H23+BS!H30+BS!H34+BS!H31+BS!H35+BS!H32+BS!H36)+0-BS!H6)/(IS!H10+Schedules!H18),0)</f>
        <v>6.88621225409975</v>
      </c>
      <c r="I36" s="94" t="n">
        <f aca="false">AVERAGE(E36:H36)</f>
        <v>-36.5247123163768</v>
      </c>
      <c r="J36" s="15"/>
    </row>
    <row r="37" customFormat="false" ht="15" hidden="false" customHeight="false" outlineLevel="0" collapsed="false">
      <c r="A37" s="54" t="s">
        <v>1228</v>
      </c>
      <c r="B37" s="13" t="s">
        <v>1229</v>
      </c>
      <c r="C37" s="74"/>
      <c r="D37" s="48" t="n">
        <f aca="false">IFERROR((IS!D10+Schedules!D18)/-IS!D14,0)</f>
        <v>1.21504725962646</v>
      </c>
      <c r="E37" s="48" t="n">
        <f aca="false">IFERROR((IS!E10+Schedules!E18)/-IS!E14,0)</f>
        <v>-0.418361473199505</v>
      </c>
      <c r="F37" s="48" t="n">
        <f aca="false">IFERROR((IS!F10+Schedules!F18)/-IS!F14,0)</f>
        <v>-0.189360563605948</v>
      </c>
      <c r="G37" s="48" t="n">
        <f aca="false">IFERROR((IS!G10+Schedules!G18)/-IS!G14,0)</f>
        <v>-0.0570635654978061</v>
      </c>
      <c r="H37" s="48" t="n">
        <f aca="false">IFERROR((IS!H10+Schedules!H18)/-IS!H14,0)</f>
        <v>1.19892438308756</v>
      </c>
      <c r="I37" s="94" t="n">
        <f aca="false">AVERAGE(E37:H37)</f>
        <v>0.133534695196075</v>
      </c>
      <c r="J37" s="15"/>
    </row>
    <row r="38" customFormat="false" ht="15" hidden="false" customHeight="false" outlineLevel="0" collapsed="false">
      <c r="A38" s="16"/>
      <c r="B38" s="17" t="s">
        <v>1230</v>
      </c>
      <c r="C38" s="16"/>
      <c r="D38" s="16"/>
      <c r="E38" s="16"/>
      <c r="F38" s="16"/>
      <c r="G38" s="16"/>
      <c r="H38" s="16"/>
      <c r="I38" s="16"/>
      <c r="J38" s="16"/>
    </row>
    <row r="39" customFormat="false" ht="15" hidden="false" customHeight="false" outlineLevel="0" collapsed="false">
      <c r="A39" s="54" t="s">
        <v>1231</v>
      </c>
      <c r="B39" s="13" t="s">
        <v>1232</v>
      </c>
      <c r="C39" s="50" t="n">
        <f aca="false">-(CF!C22+CF!C21)</f>
        <v>522268123814</v>
      </c>
      <c r="D39" s="50" t="n">
        <f aca="false">-(CF!D22+CF!D21)</f>
        <v>310404936909</v>
      </c>
      <c r="E39" s="50" t="n">
        <f aca="false">-(CF!E22+CF!E21)</f>
        <v>290453639673</v>
      </c>
      <c r="F39" s="50" t="n">
        <f aca="false">-(CF!F22+CF!F21)</f>
        <v>12562010950</v>
      </c>
      <c r="G39" s="50" t="n">
        <f aca="false">-(CF!G22+CF!G21)</f>
        <v>226929983578</v>
      </c>
      <c r="H39" s="50" t="n">
        <f aca="false">-(CF!H22+CF!H21)</f>
        <v>210756461260</v>
      </c>
      <c r="I39" s="84" t="n">
        <f aca="false">AVERAGE(E39:H39)</f>
        <v>185175523865.25</v>
      </c>
      <c r="J39" s="15"/>
    </row>
    <row r="40" customFormat="false" ht="15" hidden="false" customHeight="false" outlineLevel="0" collapsed="false">
      <c r="A40" s="54" t="s">
        <v>1233</v>
      </c>
      <c r="B40" s="13" t="s">
        <v>1234</v>
      </c>
      <c r="C40" s="46" t="n">
        <f aca="false">IFERROR(-(CF!C22+CF!C21)/IS!C6,0)</f>
        <v>2.4145980186802</v>
      </c>
      <c r="D40" s="46" t="n">
        <f aca="false">IFERROR(-(CF!D22+CF!D21)/IS!D6,0)</f>
        <v>1.06692430911998</v>
      </c>
      <c r="E40" s="46" t="n">
        <f aca="false">IFERROR(-(CF!E22+CF!E21)/IS!E6,0)</f>
        <v>1.24141018137372</v>
      </c>
      <c r="F40" s="46" t="n">
        <f aca="false">IFERROR(-(CF!F22+CF!F21)/IS!F6,0)</f>
        <v>0.051763514016316</v>
      </c>
      <c r="G40" s="46" t="n">
        <f aca="false">IFERROR(-(CF!G22+CF!G21)/IS!G6,0)</f>
        <v>0.711329285637062</v>
      </c>
      <c r="H40" s="46" t="n">
        <f aca="false">IFERROR(-(CF!H22+CF!H21)/IS!H6,0)</f>
        <v>0.479262517190195</v>
      </c>
      <c r="I40" s="85" t="n">
        <f aca="false">AVERAGE(E40:H40)</f>
        <v>0.620941374554324</v>
      </c>
      <c r="J40" s="15"/>
    </row>
    <row r="41" customFormat="false" ht="15" hidden="false" customHeight="false" outlineLevel="0" collapsed="false">
      <c r="A41" s="54" t="s">
        <v>1235</v>
      </c>
      <c r="B41" s="13" t="s">
        <v>1236</v>
      </c>
      <c r="C41" s="50" t="n">
        <f aca="false">CF!C14--(CF!C22+CF!C21)</f>
        <v>-471965329724</v>
      </c>
      <c r="D41" s="50" t="n">
        <f aca="false">CF!D14--(CF!D22+CF!D21)</f>
        <v>-263275847267</v>
      </c>
      <c r="E41" s="50" t="n">
        <f aca="false">CF!E14--(CF!E22+CF!E21)</f>
        <v>-339290008785</v>
      </c>
      <c r="F41" s="50" t="n">
        <f aca="false">CF!F14--(CF!F22+CF!F21)</f>
        <v>-95595275118</v>
      </c>
      <c r="G41" s="50" t="n">
        <f aca="false">CF!G14--(CF!G22+CF!G21)</f>
        <v>-339941167898</v>
      </c>
      <c r="H41" s="50" t="n">
        <f aca="false">CF!H14--(CF!H22+CF!H21)</f>
        <v>-164869556624</v>
      </c>
      <c r="I41" s="84" t="n">
        <f aca="false">AVERAGE(E41:H41)</f>
        <v>-234924002106.25</v>
      </c>
      <c r="J41" s="15"/>
    </row>
    <row r="42" customFormat="false" ht="15" hidden="false" customHeight="false" outlineLevel="0" collapsed="false">
      <c r="A42" s="54" t="s">
        <v>1237</v>
      </c>
      <c r="B42" s="13" t="s">
        <v>1238</v>
      </c>
      <c r="C42" s="48" t="n">
        <f aca="false">IFERROR(CF!C14/IS!C17,0)</f>
        <v>3.55046355024357</v>
      </c>
      <c r="D42" s="48" t="n">
        <f aca="false">IFERROR(CF!D14/IS!D17,0)</f>
        <v>7.63394137874732</v>
      </c>
      <c r="E42" s="48" t="n">
        <f aca="false">IFERROR(CF!E14/IS!E17,0)</f>
        <v>0.521731430085111</v>
      </c>
      <c r="F42" s="48" t="n">
        <f aca="false">IFERROR(CF!F14/IS!F17,0)</f>
        <v>0.750150130252182</v>
      </c>
      <c r="G42" s="48" t="n">
        <f aca="false">IFERROR(CF!G14/IS!G17,0)</f>
        <v>1.41410304528778</v>
      </c>
      <c r="H42" s="48" t="n">
        <f aca="false">IFERROR(CF!H14/IS!H17,0)</f>
        <v>8.91775628899746</v>
      </c>
      <c r="I42" s="94" t="n">
        <f aca="false">AVERAGE(E42:H42)</f>
        <v>2.90093522365563</v>
      </c>
      <c r="J42" s="15"/>
    </row>
    <row r="43" customFormat="false" ht="15" hidden="false" customHeight="false" outlineLevel="0" collapsed="false">
      <c r="A43" s="16"/>
      <c r="B43" s="17" t="s">
        <v>1239</v>
      </c>
      <c r="C43" s="16"/>
      <c r="D43" s="16"/>
      <c r="E43" s="16"/>
      <c r="F43" s="16"/>
      <c r="G43" s="16"/>
      <c r="H43" s="16"/>
      <c r="I43" s="16"/>
      <c r="J43" s="16"/>
    </row>
    <row r="44" customFormat="false" ht="15" hidden="false" customHeight="false" outlineLevel="0" collapsed="false">
      <c r="A44" s="54" t="s">
        <v>1240</v>
      </c>
      <c r="B44" s="13" t="s">
        <v>1241</v>
      </c>
      <c r="C44" s="71" t="n">
        <f aca="false">IFERROR(IS!C24/33250000000,0)</f>
        <v>0.430461430496241</v>
      </c>
      <c r="D44" s="71" t="n">
        <f aca="false">IFERROR(IS!D24/33250000000,0)</f>
        <v>0.183434402135338</v>
      </c>
      <c r="E44" s="71" t="n">
        <f aca="false">IFERROR(IS!E24/33250000000,0)</f>
        <v>-2.81335028550376</v>
      </c>
      <c r="F44" s="71" t="n">
        <f aca="false">IFERROR(IS!F24/33250000000,0)</f>
        <v>-3.33593349795489</v>
      </c>
      <c r="G44" s="71" t="n">
        <f aca="false">IFERROR(IS!G24/33250000000,0)</f>
        <v>-2.41531372393985</v>
      </c>
      <c r="H44" s="71" t="n">
        <f aca="false">IFERROR(IS!H24/33250000000,0)</f>
        <v>0.148953934075188</v>
      </c>
      <c r="I44" s="101" t="n">
        <f aca="false">AVERAGE(E44:H44)</f>
        <v>-2.10391089333083</v>
      </c>
      <c r="J44" s="15" t="s">
        <v>1242</v>
      </c>
    </row>
    <row r="45" customFormat="false" ht="15" hidden="false" customHeight="false" outlineLevel="0" collapsed="false">
      <c r="A45" s="54" t="s">
        <v>1243</v>
      </c>
      <c r="B45" s="13" t="s">
        <v>1244</v>
      </c>
      <c r="C45" s="98"/>
      <c r="D45" s="71" t="n">
        <f aca="false">IFERROR(IS!D24/Schedules!D20,0)</f>
        <v>0.183434402135338</v>
      </c>
      <c r="E45" s="71" t="n">
        <f aca="false">IFERROR(IS!E24/Schedules!E20,0)</f>
        <v>-2.81335028550376</v>
      </c>
      <c r="F45" s="71" t="n">
        <f aca="false">IFERROR(IS!F24/Schedules!F20,0)</f>
        <v>-3.33593349795489</v>
      </c>
      <c r="G45" s="71" t="n">
        <f aca="false">IFERROR(IS!G24/Schedules!G20,0)</f>
        <v>-2.41531372393985</v>
      </c>
      <c r="H45" s="71" t="n">
        <f aca="false">IFERROR(IS!H24/Schedules!H20,0)</f>
        <v>0.148953934075188</v>
      </c>
      <c r="I45" s="101" t="n">
        <f aca="false">AVERAGE(E45:H45)</f>
        <v>-2.10391089333083</v>
      </c>
      <c r="J45" s="15"/>
    </row>
    <row r="46" customFormat="false" ht="15" hidden="false" customHeight="false" outlineLevel="0" collapsed="false">
      <c r="A46" s="54" t="s">
        <v>1245</v>
      </c>
      <c r="B46" s="13" t="s">
        <v>1246</v>
      </c>
      <c r="C46" s="71" t="n">
        <f aca="false">IS!C28</f>
        <v>0.51</v>
      </c>
      <c r="D46" s="71" t="n">
        <f aca="false">IS!D28</f>
        <v>0.18</v>
      </c>
      <c r="E46" s="71" t="n">
        <f aca="false">IS!E28</f>
        <v>-2.81</v>
      </c>
      <c r="F46" s="71" t="n">
        <f aca="false">IS!F28</f>
        <v>-3.34</v>
      </c>
      <c r="G46" s="71" t="n">
        <f aca="false">IS!G28</f>
        <v>-2.42</v>
      </c>
      <c r="H46" s="71" t="n">
        <f aca="false">IS!H28</f>
        <v>0.15</v>
      </c>
      <c r="I46" s="101" t="n">
        <f aca="false">AVERAGE(E46:H46)</f>
        <v>-2.105</v>
      </c>
      <c r="J46" s="15" t="s">
        <v>1247</v>
      </c>
    </row>
    <row r="47" customFormat="false" ht="15" hidden="false" customHeight="false" outlineLevel="0" collapsed="false">
      <c r="A47" s="54" t="s">
        <v>1248</v>
      </c>
      <c r="B47" s="13" t="s">
        <v>1249</v>
      </c>
      <c r="C47" s="71" t="n">
        <f aca="false">IFERROR(BS!C45/33250000000,0)</f>
        <v>98.942400599579</v>
      </c>
      <c r="D47" s="71" t="n">
        <f aca="false">IFERROR(BS!D45/33250000000,0)</f>
        <v>99.1654474565113</v>
      </c>
      <c r="E47" s="71" t="n">
        <f aca="false">IFERROR(BS!E45/33250000000,0)</f>
        <v>96.4182877131128</v>
      </c>
      <c r="F47" s="71" t="n">
        <f aca="false">IFERROR(BS!F45/33250000000,0)</f>
        <v>93.1278043266165</v>
      </c>
      <c r="G47" s="71" t="n">
        <f aca="false">IFERROR(BS!G45/33250000000,0)</f>
        <v>90.7298426240902</v>
      </c>
      <c r="H47" s="71" t="n">
        <f aca="false">IFERROR(BS!H45/33250000000,0)</f>
        <v>90.8885140997895</v>
      </c>
      <c r="I47" s="101" t="n">
        <f aca="false">AVERAGE(E47:H47)</f>
        <v>92.7911121909023</v>
      </c>
      <c r="J47" s="15"/>
    </row>
    <row r="48" customFormat="false" ht="15" hidden="false" customHeight="false" outlineLevel="0" collapsed="false">
      <c r="A48" s="54" t="s">
        <v>1250</v>
      </c>
      <c r="B48" s="13" t="s">
        <v>1251</v>
      </c>
      <c r="C48" s="50" t="n">
        <f aca="false">-CF!C38</f>
        <v>-0</v>
      </c>
      <c r="D48" s="50" t="n">
        <f aca="false">-CF!D38</f>
        <v>-0</v>
      </c>
      <c r="E48" s="50" t="n">
        <f aca="false">-CF!E38</f>
        <v>-0</v>
      </c>
      <c r="F48" s="50" t="n">
        <f aca="false">-CF!F38</f>
        <v>-0</v>
      </c>
      <c r="G48" s="50" t="n">
        <f aca="false">-CF!G38</f>
        <v>-0</v>
      </c>
      <c r="H48" s="50" t="n">
        <f aca="false">-CF!H38</f>
        <v>-0</v>
      </c>
      <c r="J48" s="15" t="s">
        <v>1252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L3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58"/>
    <col collapsed="false" customWidth="true" hidden="false" outlineLevel="0" max="4" min="4" style="0" width="7"/>
    <col collapsed="false" customWidth="true" hidden="false" outlineLevel="0" max="6" min="5" style="0" width="18"/>
    <col collapsed="false" customWidth="true" hidden="false" outlineLevel="0" max="7" min="7" style="0" width="15"/>
    <col collapsed="false" customWidth="true" hidden="false" outlineLevel="0" max="8" min="8" style="0" width="9"/>
    <col collapsed="false" customWidth="true" hidden="false" outlineLevel="0" max="9" min="9" style="0" width="8"/>
    <col collapsed="false" customWidth="true" hidden="false" outlineLevel="0" max="10" min="10" style="0" width="10"/>
    <col collapsed="false" customWidth="true" hidden="false" outlineLevel="0" max="11" min="11" style="0" width="15"/>
    <col collapsed="false" customWidth="true" hidden="false" outlineLevel="0" max="12" min="12" style="0" width="70"/>
  </cols>
  <sheetData>
    <row r="1" customFormat="false" ht="17.35" hidden="false" customHeight="false" outlineLevel="0" collapsed="false">
      <c r="A1" s="14" t="s">
        <v>1253</v>
      </c>
    </row>
    <row r="2" customFormat="false" ht="15" hidden="false" customHeight="false" outlineLevel="0" collapsed="false">
      <c r="A2" s="15" t="s">
        <v>1254</v>
      </c>
    </row>
    <row r="3" customFormat="false" ht="15" hidden="false" customHeight="false" outlineLevel="0" collapsed="false">
      <c r="B3" s="4" t="s">
        <v>39</v>
      </c>
      <c r="C3" s="4" t="str">
        <f aca="false">IF(COUNTIF(K7:K360,"✖*")=0,"SEMUA 354 CEK SESUAI EKSPEKTASI","ADA "&amp;COUNTIF(K7:K360,"✖*")&amp;" CEK TIDAK SESUAI EKSPEKTASI")</f>
        <v>SEMUA 354 CEK SESUAI EKSPEKTASI</v>
      </c>
    </row>
    <row r="4" customFormat="false" ht="15" hidden="false" customHeight="false" outlineLevel="0" collapsed="false">
      <c r="C4" s="13" t="str">
        <f aca="false">"OK: "&amp;COUNTIF(I7:I360,"OK")&amp;" | ❌ (diharapkan, dijelaskan di Temuan): "&amp;COUNTIF(I7:I360,"❌")&amp;" | N/A/INFO: "&amp;(COUNTIF(I7:I360,"N/A")+COUNTIF(I7:I360,"INFO"))</f>
        <v>OK: 347 | ❌ (diharapkan, dijelaskan di Temuan): 3 | N/A/INFO: 4</v>
      </c>
    </row>
    <row r="6" customFormat="false" ht="23.85" hidden="false" customHeight="false" outlineLevel="0" collapsed="false">
      <c r="A6" s="25" t="s">
        <v>1255</v>
      </c>
      <c r="B6" s="25" t="s">
        <v>1256</v>
      </c>
      <c r="C6" s="25" t="s">
        <v>1257</v>
      </c>
      <c r="D6" s="25" t="s">
        <v>1258</v>
      </c>
      <c r="E6" s="25" t="s">
        <v>1259</v>
      </c>
      <c r="F6" s="25" t="s">
        <v>1260</v>
      </c>
      <c r="G6" s="25" t="s">
        <v>1261</v>
      </c>
      <c r="H6" s="25" t="s">
        <v>1262</v>
      </c>
      <c r="I6" s="25" t="s">
        <v>1263</v>
      </c>
      <c r="J6" s="25" t="s">
        <v>1264</v>
      </c>
      <c r="K6" s="25" t="s">
        <v>1265</v>
      </c>
      <c r="L6" s="25" t="s">
        <v>1266</v>
      </c>
    </row>
    <row r="7" customFormat="false" ht="15" hidden="false" customHeight="false" outlineLevel="0" collapsed="false">
      <c r="A7" s="13" t="n">
        <v>1</v>
      </c>
      <c r="B7" s="13" t="s">
        <v>1267</v>
      </c>
      <c r="C7" s="13" t="s">
        <v>1268</v>
      </c>
      <c r="D7" s="13" t="n">
        <v>2020</v>
      </c>
      <c r="E7" s="50" t="n">
        <f aca="false">IS!C8</f>
        <v>102891453436</v>
      </c>
      <c r="F7" s="50" t="n">
        <f aca="false">IS!C34</f>
        <v>102891453436</v>
      </c>
      <c r="G7" s="102" t="n">
        <f aca="false">IF(COUNT(E7:F7)=2,E7-F7,"")</f>
        <v>0</v>
      </c>
      <c r="H7" s="103" t="n">
        <v>1</v>
      </c>
      <c r="I7" s="4" t="str">
        <f aca="false">IF(COUNT(E7:F7)&lt;2,"N/A",IF(ABS(G7)&lt;=H7,"OK","❌"))</f>
        <v>OK</v>
      </c>
      <c r="J7" s="103" t="s">
        <v>1269</v>
      </c>
      <c r="K7" s="4" t="str">
        <f aca="false">IF(I7=J7,"✔ sesuai","✖ TIDAK sesuai")</f>
        <v>✔ sesuai</v>
      </c>
      <c r="L7" s="104"/>
    </row>
    <row r="8" customFormat="false" ht="15" hidden="false" customHeight="false" outlineLevel="0" collapsed="false">
      <c r="A8" s="13" t="n">
        <v>2</v>
      </c>
      <c r="B8" s="13" t="s">
        <v>1267</v>
      </c>
      <c r="C8" s="13" t="s">
        <v>1270</v>
      </c>
      <c r="D8" s="13" t="n">
        <v>2020</v>
      </c>
      <c r="E8" s="50" t="n">
        <f aca="false">IS!C10</f>
        <v>-15517181073</v>
      </c>
      <c r="F8" s="50" t="n">
        <f aca="false">IS!C35</f>
        <v>-15517181073</v>
      </c>
      <c r="G8" s="102" t="n">
        <f aca="false">IF(COUNT(E8:F8)=2,E8-F8,"")</f>
        <v>0</v>
      </c>
      <c r="H8" s="103" t="n">
        <v>1</v>
      </c>
      <c r="I8" s="4" t="str">
        <f aca="false">IF(COUNT(E8:F8)&lt;2,"N/A",IF(ABS(G8)&lt;=H8,"OK","❌"))</f>
        <v>OK</v>
      </c>
      <c r="J8" s="103" t="s">
        <v>1269</v>
      </c>
      <c r="K8" s="4" t="str">
        <f aca="false">IF(I8=J8,"✔ sesuai","✖ TIDAK sesuai")</f>
        <v>✔ sesuai</v>
      </c>
      <c r="L8" s="104"/>
    </row>
    <row r="9" customFormat="false" ht="15" hidden="false" customHeight="false" outlineLevel="0" collapsed="false">
      <c r="A9" s="13" t="n">
        <v>3</v>
      </c>
      <c r="B9" s="13" t="s">
        <v>1267</v>
      </c>
      <c r="C9" s="13" t="s">
        <v>1271</v>
      </c>
      <c r="D9" s="13" t="n">
        <v>2020</v>
      </c>
      <c r="E9" s="50" t="n">
        <f aca="false">IS!C15</f>
        <v>13792807612</v>
      </c>
      <c r="F9" s="50" t="n">
        <f aca="false">IS!C36</f>
        <v>13792807612</v>
      </c>
      <c r="G9" s="102" t="n">
        <f aca="false">IF(COUNT(E9:F9)=2,E9-F9,"")</f>
        <v>0</v>
      </c>
      <c r="H9" s="103" t="n">
        <v>1</v>
      </c>
      <c r="I9" s="4" t="str">
        <f aca="false">IF(COUNT(E9:F9)&lt;2,"N/A",IF(ABS(G9)&lt;=H9,"OK","❌"))</f>
        <v>OK</v>
      </c>
      <c r="J9" s="103" t="s">
        <v>1269</v>
      </c>
      <c r="K9" s="4" t="str">
        <f aca="false">IF(I9=J9,"✔ sesuai","✖ TIDAK sesuai")</f>
        <v>✔ sesuai</v>
      </c>
      <c r="L9" s="104"/>
    </row>
    <row r="10" customFormat="false" ht="15" hidden="false" customHeight="false" outlineLevel="0" collapsed="false">
      <c r="A10" s="13" t="n">
        <v>4</v>
      </c>
      <c r="B10" s="13" t="s">
        <v>1267</v>
      </c>
      <c r="C10" s="13" t="s">
        <v>1272</v>
      </c>
      <c r="D10" s="13" t="n">
        <v>2020</v>
      </c>
      <c r="E10" s="50" t="n">
        <f aca="false">IS!C17</f>
        <v>14167951136</v>
      </c>
      <c r="F10" s="50" t="n">
        <f aca="false">IS!C37</f>
        <v>14167951136</v>
      </c>
      <c r="G10" s="102" t="n">
        <f aca="false">IF(COUNT(E10:F10)=2,E10-F10,"")</f>
        <v>0</v>
      </c>
      <c r="H10" s="103" t="n">
        <v>1</v>
      </c>
      <c r="I10" s="4" t="str">
        <f aca="false">IF(COUNT(E10:F10)&lt;2,"N/A",IF(ABS(G10)&lt;=H10,"OK","❌"))</f>
        <v>OK</v>
      </c>
      <c r="J10" s="103" t="s">
        <v>1269</v>
      </c>
      <c r="K10" s="4" t="str">
        <f aca="false">IF(I10=J10,"✔ sesuai","✖ TIDAK sesuai")</f>
        <v>✔ sesuai</v>
      </c>
      <c r="L10" s="104"/>
    </row>
    <row r="11" customFormat="false" ht="15" hidden="false" customHeight="false" outlineLevel="0" collapsed="false">
      <c r="A11" s="13" t="n">
        <v>5</v>
      </c>
      <c r="B11" s="13" t="s">
        <v>1267</v>
      </c>
      <c r="C11" s="13" t="s">
        <v>1273</v>
      </c>
      <c r="D11" s="13" t="n">
        <v>2020</v>
      </c>
      <c r="E11" s="50" t="n">
        <f aca="false">IS!C21</f>
        <v>165817157</v>
      </c>
      <c r="F11" s="50" t="n">
        <f aca="false">IS!C38</f>
        <v>165817157</v>
      </c>
      <c r="G11" s="102" t="n">
        <f aca="false">IF(COUNT(E11:F11)=2,E11-F11,"")</f>
        <v>0</v>
      </c>
      <c r="H11" s="103" t="n">
        <v>1</v>
      </c>
      <c r="I11" s="4" t="str">
        <f aca="false">IF(COUNT(E11:F11)&lt;2,"N/A",IF(ABS(G11)&lt;=H11,"OK","❌"))</f>
        <v>OK</v>
      </c>
      <c r="J11" s="103" t="s">
        <v>1269</v>
      </c>
      <c r="K11" s="4" t="str">
        <f aca="false">IF(I11=J11,"✔ sesuai","✖ TIDAK sesuai")</f>
        <v>✔ sesuai</v>
      </c>
      <c r="L11" s="104"/>
    </row>
    <row r="12" customFormat="false" ht="15" hidden="false" customHeight="false" outlineLevel="0" collapsed="false">
      <c r="A12" s="13" t="n">
        <v>6</v>
      </c>
      <c r="B12" s="13" t="s">
        <v>1267</v>
      </c>
      <c r="C12" s="13" t="s">
        <v>1274</v>
      </c>
      <c r="D12" s="13" t="n">
        <v>2020</v>
      </c>
      <c r="E12" s="50" t="n">
        <f aca="false">IS!C22</f>
        <v>14333768293</v>
      </c>
      <c r="F12" s="50" t="n">
        <f aca="false">IS!C39</f>
        <v>14333768293</v>
      </c>
      <c r="G12" s="102" t="n">
        <f aca="false">IF(COUNT(E12:F12)=2,E12-F12,"")</f>
        <v>0</v>
      </c>
      <c r="H12" s="103" t="n">
        <v>1</v>
      </c>
      <c r="I12" s="4" t="str">
        <f aca="false">IF(COUNT(E12:F12)&lt;2,"N/A",IF(ABS(G12)&lt;=H12,"OK","❌"))</f>
        <v>OK</v>
      </c>
      <c r="J12" s="103" t="s">
        <v>1269</v>
      </c>
      <c r="K12" s="4" t="str">
        <f aca="false">IF(I12=J12,"✔ sesuai","✖ TIDAK sesuai")</f>
        <v>✔ sesuai</v>
      </c>
      <c r="L12" s="104"/>
    </row>
    <row r="13" customFormat="false" ht="15" hidden="false" customHeight="false" outlineLevel="0" collapsed="false">
      <c r="A13" s="13" t="n">
        <v>7</v>
      </c>
      <c r="B13" s="13" t="s">
        <v>1267</v>
      </c>
      <c r="C13" s="13" t="s">
        <v>1275</v>
      </c>
      <c r="D13" s="13" t="n">
        <v>2020</v>
      </c>
      <c r="E13" s="50" t="n">
        <f aca="false">BS!C15</f>
        <v>781853202675</v>
      </c>
      <c r="F13" s="50" t="n">
        <f aca="false">BS!C50</f>
        <v>781853202675</v>
      </c>
      <c r="G13" s="102" t="n">
        <f aca="false">IF(COUNT(E13:F13)=2,E13-F13,"")</f>
        <v>0</v>
      </c>
      <c r="H13" s="103" t="n">
        <v>1</v>
      </c>
      <c r="I13" s="4" t="str">
        <f aca="false">IF(COUNT(E13:F13)&lt;2,"N/A",IF(ABS(G13)&lt;=H13,"OK","❌"))</f>
        <v>OK</v>
      </c>
      <c r="J13" s="103" t="s">
        <v>1269</v>
      </c>
      <c r="K13" s="4" t="str">
        <f aca="false">IF(I13=J13,"✔ sesuai","✖ TIDAK sesuai")</f>
        <v>✔ sesuai</v>
      </c>
      <c r="L13" s="104"/>
    </row>
    <row r="14" customFormat="false" ht="15" hidden="false" customHeight="false" outlineLevel="0" collapsed="false">
      <c r="A14" s="13" t="n">
        <v>8</v>
      </c>
      <c r="B14" s="13" t="s">
        <v>1267</v>
      </c>
      <c r="C14" s="13" t="s">
        <v>1276</v>
      </c>
      <c r="D14" s="13" t="n">
        <v>2020</v>
      </c>
      <c r="E14" s="50" t="n">
        <f aca="false">BS!C20</f>
        <v>2663818061478</v>
      </c>
      <c r="F14" s="50" t="n">
        <f aca="false">BS!C51</f>
        <v>2663818061478</v>
      </c>
      <c r="G14" s="102" t="n">
        <f aca="false">IF(COUNT(E14:F14)=2,E14-F14,"")</f>
        <v>0</v>
      </c>
      <c r="H14" s="103" t="n">
        <v>1</v>
      </c>
      <c r="I14" s="4" t="str">
        <f aca="false">IF(COUNT(E14:F14)&lt;2,"N/A",IF(ABS(G14)&lt;=H14,"OK","❌"))</f>
        <v>OK</v>
      </c>
      <c r="J14" s="103" t="s">
        <v>1269</v>
      </c>
      <c r="K14" s="4" t="str">
        <f aca="false">IF(I14=J14,"✔ sesuai","✖ TIDAK sesuai")</f>
        <v>✔ sesuai</v>
      </c>
      <c r="L14" s="104"/>
    </row>
    <row r="15" customFormat="false" ht="15" hidden="false" customHeight="false" outlineLevel="0" collapsed="false">
      <c r="A15" s="13" t="n">
        <v>9</v>
      </c>
      <c r="B15" s="13" t="s">
        <v>1267</v>
      </c>
      <c r="C15" s="13" t="s">
        <v>1277</v>
      </c>
      <c r="D15" s="13" t="n">
        <v>2020</v>
      </c>
      <c r="E15" s="50" t="n">
        <f aca="false">BS!C21</f>
        <v>3445671264153</v>
      </c>
      <c r="F15" s="50" t="n">
        <f aca="false">BS!C52</f>
        <v>3445671264153</v>
      </c>
      <c r="G15" s="102" t="n">
        <f aca="false">IF(COUNT(E15:F15)=2,E15-F15,"")</f>
        <v>0</v>
      </c>
      <c r="H15" s="103" t="n">
        <v>1</v>
      </c>
      <c r="I15" s="4" t="str">
        <f aca="false">IF(COUNT(E15:F15)&lt;2,"N/A",IF(ABS(G15)&lt;=H15,"OK","❌"))</f>
        <v>OK</v>
      </c>
      <c r="J15" s="103" t="s">
        <v>1269</v>
      </c>
      <c r="K15" s="4" t="str">
        <f aca="false">IF(I15=J15,"✔ sesuai","✖ TIDAK sesuai")</f>
        <v>✔ sesuai</v>
      </c>
      <c r="L15" s="104"/>
    </row>
    <row r="16" customFormat="false" ht="15" hidden="false" customHeight="false" outlineLevel="0" collapsed="false">
      <c r="A16" s="13" t="n">
        <v>10</v>
      </c>
      <c r="B16" s="13" t="s">
        <v>1267</v>
      </c>
      <c r="C16" s="13" t="s">
        <v>1278</v>
      </c>
      <c r="D16" s="13" t="n">
        <v>2020</v>
      </c>
      <c r="E16" s="50" t="n">
        <f aca="false">BS!C33</f>
        <v>48429071388</v>
      </c>
      <c r="F16" s="50" t="n">
        <f aca="false">BS!C53</f>
        <v>48429071388</v>
      </c>
      <c r="G16" s="102" t="n">
        <f aca="false">IF(COUNT(E16:F16)=2,E16-F16,"")</f>
        <v>0</v>
      </c>
      <c r="H16" s="103" t="n">
        <v>1</v>
      </c>
      <c r="I16" s="4" t="str">
        <f aca="false">IF(COUNT(E16:F16)&lt;2,"N/A",IF(ABS(G16)&lt;=H16,"OK","❌"))</f>
        <v>OK</v>
      </c>
      <c r="J16" s="103" t="s">
        <v>1269</v>
      </c>
      <c r="K16" s="4" t="str">
        <f aca="false">IF(I16=J16,"✔ sesuai","✖ TIDAK sesuai")</f>
        <v>✔ sesuai</v>
      </c>
      <c r="L16" s="104"/>
    </row>
    <row r="17" customFormat="false" ht="15" hidden="false" customHeight="false" outlineLevel="0" collapsed="false">
      <c r="A17" s="13" t="n">
        <v>11</v>
      </c>
      <c r="B17" s="13" t="s">
        <v>1267</v>
      </c>
      <c r="C17" s="13" t="s">
        <v>1279</v>
      </c>
      <c r="D17" s="13" t="n">
        <v>2020</v>
      </c>
      <c r="E17" s="50" t="n">
        <f aca="false">BS!C39</f>
        <v>106484753509</v>
      </c>
      <c r="F17" s="50" t="n">
        <f aca="false">BS!C54</f>
        <v>106484753509</v>
      </c>
      <c r="G17" s="102" t="n">
        <f aca="false">IF(COUNT(E17:F17)=2,E17-F17,"")</f>
        <v>0</v>
      </c>
      <c r="H17" s="103" t="n">
        <v>1</v>
      </c>
      <c r="I17" s="4" t="str">
        <f aca="false">IF(COUNT(E17:F17)&lt;2,"N/A",IF(ABS(G17)&lt;=H17,"OK","❌"))</f>
        <v>OK</v>
      </c>
      <c r="J17" s="103" t="s">
        <v>1269</v>
      </c>
      <c r="K17" s="4" t="str">
        <f aca="false">IF(I17=J17,"✔ sesuai","✖ TIDAK sesuai")</f>
        <v>✔ sesuai</v>
      </c>
      <c r="L17" s="104"/>
    </row>
    <row r="18" customFormat="false" ht="15" hidden="false" customHeight="false" outlineLevel="0" collapsed="false">
      <c r="A18" s="13" t="n">
        <v>12</v>
      </c>
      <c r="B18" s="13" t="s">
        <v>1267</v>
      </c>
      <c r="C18" s="13" t="s">
        <v>1280</v>
      </c>
      <c r="D18" s="13" t="n">
        <v>2020</v>
      </c>
      <c r="E18" s="50" t="n">
        <f aca="false">BS!C40</f>
        <v>154913824897</v>
      </c>
      <c r="F18" s="50" t="n">
        <f aca="false">BS!C55</f>
        <v>154913824897</v>
      </c>
      <c r="G18" s="102" t="n">
        <f aca="false">IF(COUNT(E18:F18)=2,E18-F18,"")</f>
        <v>0</v>
      </c>
      <c r="H18" s="103" t="n">
        <v>1</v>
      </c>
      <c r="I18" s="4" t="str">
        <f aca="false">IF(COUNT(E18:F18)&lt;2,"N/A",IF(ABS(G18)&lt;=H18,"OK","❌"))</f>
        <v>OK</v>
      </c>
      <c r="J18" s="103" t="s">
        <v>1269</v>
      </c>
      <c r="K18" s="4" t="str">
        <f aca="false">IF(I18=J18,"✔ sesuai","✖ TIDAK sesuai")</f>
        <v>✔ sesuai</v>
      </c>
      <c r="L18" s="104"/>
    </row>
    <row r="19" customFormat="false" ht="15" hidden="false" customHeight="false" outlineLevel="0" collapsed="false">
      <c r="A19" s="13" t="n">
        <v>13</v>
      </c>
      <c r="B19" s="13" t="s">
        <v>1267</v>
      </c>
      <c r="C19" s="13" t="s">
        <v>1281</v>
      </c>
      <c r="D19" s="13" t="n">
        <v>2020</v>
      </c>
      <c r="E19" s="50" t="n">
        <f aca="false">BS!C45</f>
        <v>3289834819936</v>
      </c>
      <c r="F19" s="50" t="n">
        <f aca="false">BS!C56</f>
        <v>3289834819936</v>
      </c>
      <c r="G19" s="102" t="n">
        <f aca="false">IF(COUNT(E19:F19)=2,E19-F19,"")</f>
        <v>0</v>
      </c>
      <c r="H19" s="103" t="n">
        <v>1</v>
      </c>
      <c r="I19" s="4" t="str">
        <f aca="false">IF(COUNT(E19:F19)&lt;2,"N/A",IF(ABS(G19)&lt;=H19,"OK","❌"))</f>
        <v>OK</v>
      </c>
      <c r="J19" s="103" t="s">
        <v>1269</v>
      </c>
      <c r="K19" s="4" t="str">
        <f aca="false">IF(I19=J19,"✔ sesuai","✖ TIDAK sesuai")</f>
        <v>✔ sesuai</v>
      </c>
      <c r="L19" s="104"/>
    </row>
    <row r="20" customFormat="false" ht="15" hidden="false" customHeight="false" outlineLevel="0" collapsed="false">
      <c r="A20" s="13" t="n">
        <v>14</v>
      </c>
      <c r="B20" s="13" t="s">
        <v>1267</v>
      </c>
      <c r="C20" s="13" t="s">
        <v>1282</v>
      </c>
      <c r="D20" s="13" t="n">
        <v>2020</v>
      </c>
      <c r="E20" s="50" t="n">
        <f aca="false">BS!C47</f>
        <v>3290757439256</v>
      </c>
      <c r="F20" s="50" t="n">
        <f aca="false">BS!C57</f>
        <v>3290757439256</v>
      </c>
      <c r="G20" s="102" t="n">
        <f aca="false">IF(COUNT(E20:F20)=2,E20-F20,"")</f>
        <v>0</v>
      </c>
      <c r="H20" s="103" t="n">
        <v>1</v>
      </c>
      <c r="I20" s="4" t="str">
        <f aca="false">IF(COUNT(E20:F20)&lt;2,"N/A",IF(ABS(G20)&lt;=H20,"OK","❌"))</f>
        <v>OK</v>
      </c>
      <c r="J20" s="103" t="s">
        <v>1269</v>
      </c>
      <c r="K20" s="4" t="str">
        <f aca="false">IF(I20=J20,"✔ sesuai","✖ TIDAK sesuai")</f>
        <v>✔ sesuai</v>
      </c>
      <c r="L20" s="104"/>
    </row>
    <row r="21" customFormat="false" ht="15" hidden="false" customHeight="false" outlineLevel="0" collapsed="false">
      <c r="A21" s="13" t="n">
        <v>15</v>
      </c>
      <c r="B21" s="13" t="s">
        <v>1267</v>
      </c>
      <c r="C21" s="13" t="s">
        <v>1283</v>
      </c>
      <c r="D21" s="13" t="n">
        <v>2020</v>
      </c>
      <c r="E21" s="50" t="n">
        <f aca="false">BS!C48</f>
        <v>3445671264153</v>
      </c>
      <c r="F21" s="50" t="n">
        <f aca="false">BS!C58</f>
        <v>3445671264153</v>
      </c>
      <c r="G21" s="102" t="n">
        <f aca="false">IF(COUNT(E21:F21)=2,E21-F21,"")</f>
        <v>0</v>
      </c>
      <c r="H21" s="103" t="n">
        <v>1</v>
      </c>
      <c r="I21" s="4" t="str">
        <f aca="false">IF(COUNT(E21:F21)&lt;2,"N/A",IF(ABS(G21)&lt;=H21,"OK","❌"))</f>
        <v>OK</v>
      </c>
      <c r="J21" s="103" t="s">
        <v>1269</v>
      </c>
      <c r="K21" s="4" t="str">
        <f aca="false">IF(I21=J21,"✔ sesuai","✖ TIDAK sesuai")</f>
        <v>✔ sesuai</v>
      </c>
      <c r="L21" s="104"/>
    </row>
    <row r="22" customFormat="false" ht="15" hidden="false" customHeight="false" outlineLevel="0" collapsed="false">
      <c r="A22" s="13" t="n">
        <v>16</v>
      </c>
      <c r="B22" s="13" t="s">
        <v>1267</v>
      </c>
      <c r="C22" s="13" t="s">
        <v>1284</v>
      </c>
      <c r="D22" s="13" t="n">
        <v>2020</v>
      </c>
      <c r="E22" s="50" t="n">
        <f aca="false">CF!C10</f>
        <v>21441453078</v>
      </c>
      <c r="F22" s="50" t="n">
        <f aca="false">CF!C45</f>
        <v>0</v>
      </c>
      <c r="G22" s="102" t="n">
        <f aca="false">IF(COUNT(E22:F22)=2,E22-F22,"")</f>
        <v>21441453078</v>
      </c>
      <c r="H22" s="103" t="n">
        <v>1</v>
      </c>
      <c r="I22" s="4" t="str">
        <f aca="false">IF(COUNT(E22:F22)&lt;2,"N/A",IF(ABS(G22)&lt;=H22,"OK","❌"))</f>
        <v>❌</v>
      </c>
      <c r="J22" s="103" t="s">
        <v>1285</v>
      </c>
      <c r="K22" s="4" t="str">
        <f aca="false">IF(I22=J22,"✔ sesuai","✖ TIDAK sesuai")</f>
        <v>✔ sesuai</v>
      </c>
      <c r="L22" s="104" t="s">
        <v>1286</v>
      </c>
    </row>
    <row r="23" customFormat="false" ht="15" hidden="false" customHeight="false" outlineLevel="0" collapsed="false">
      <c r="A23" s="13" t="n">
        <v>17</v>
      </c>
      <c r="B23" s="13" t="s">
        <v>1267</v>
      </c>
      <c r="C23" s="13" t="s">
        <v>1287</v>
      </c>
      <c r="D23" s="13" t="n">
        <v>2020</v>
      </c>
      <c r="E23" s="50" t="n">
        <f aca="false">CF!C14</f>
        <v>50302794090</v>
      </c>
      <c r="F23" s="50" t="n">
        <f aca="false">CF!C46</f>
        <v>50302794090</v>
      </c>
      <c r="G23" s="102" t="n">
        <f aca="false">IF(COUNT(E23:F23)=2,E23-F23,"")</f>
        <v>0</v>
      </c>
      <c r="H23" s="103" t="n">
        <v>1</v>
      </c>
      <c r="I23" s="4" t="str">
        <f aca="false">IF(COUNT(E23:F23)&lt;2,"N/A",IF(ABS(G23)&lt;=H23,"OK","❌"))</f>
        <v>OK</v>
      </c>
      <c r="J23" s="103" t="s">
        <v>1269</v>
      </c>
      <c r="K23" s="4" t="str">
        <f aca="false">IF(I23=J23,"✔ sesuai","✖ TIDAK sesuai")</f>
        <v>✔ sesuai</v>
      </c>
      <c r="L23" s="104"/>
    </row>
    <row r="24" customFormat="false" ht="15" hidden="false" customHeight="false" outlineLevel="0" collapsed="false">
      <c r="A24" s="13" t="n">
        <v>18</v>
      </c>
      <c r="B24" s="13" t="s">
        <v>1267</v>
      </c>
      <c r="C24" s="13" t="s">
        <v>1288</v>
      </c>
      <c r="D24" s="13" t="n">
        <v>2020</v>
      </c>
      <c r="E24" s="50" t="n">
        <f aca="false">CF!C23</f>
        <v>-502268123814</v>
      </c>
      <c r="F24" s="50" t="n">
        <f aca="false">CF!C47</f>
        <v>-502268123814</v>
      </c>
      <c r="G24" s="102" t="n">
        <f aca="false">IF(COUNT(E24:F24)=2,E24-F24,"")</f>
        <v>0</v>
      </c>
      <c r="H24" s="103" t="n">
        <v>1</v>
      </c>
      <c r="I24" s="4" t="str">
        <f aca="false">IF(COUNT(E24:F24)&lt;2,"N/A",IF(ABS(G24)&lt;=H24,"OK","❌"))</f>
        <v>OK</v>
      </c>
      <c r="J24" s="103" t="s">
        <v>1269</v>
      </c>
      <c r="K24" s="4" t="str">
        <f aca="false">IF(I24=J24,"✔ sesuai","✖ TIDAK sesuai")</f>
        <v>✔ sesuai</v>
      </c>
      <c r="L24" s="104"/>
    </row>
    <row r="25" customFormat="false" ht="15" hidden="false" customHeight="false" outlineLevel="0" collapsed="false">
      <c r="A25" s="13" t="n">
        <v>19</v>
      </c>
      <c r="B25" s="13" t="s">
        <v>1267</v>
      </c>
      <c r="C25" s="13" t="s">
        <v>1289</v>
      </c>
      <c r="D25" s="13" t="n">
        <v>2020</v>
      </c>
      <c r="E25" s="50" t="n">
        <f aca="false">CF!C39</f>
        <v>970495601854</v>
      </c>
      <c r="F25" s="50" t="n">
        <f aca="false">CF!C48</f>
        <v>970495601854</v>
      </c>
      <c r="G25" s="102" t="n">
        <f aca="false">IF(COUNT(E25:F25)=2,E25-F25,"")</f>
        <v>0</v>
      </c>
      <c r="H25" s="103" t="n">
        <v>1</v>
      </c>
      <c r="I25" s="4" t="str">
        <f aca="false">IF(COUNT(E25:F25)&lt;2,"N/A",IF(ABS(G25)&lt;=H25,"OK","❌"))</f>
        <v>OK</v>
      </c>
      <c r="J25" s="103" t="s">
        <v>1269</v>
      </c>
      <c r="K25" s="4" t="str">
        <f aca="false">IF(I25=J25,"✔ sesuai","✖ TIDAK sesuai")</f>
        <v>✔ sesuai</v>
      </c>
      <c r="L25" s="104"/>
    </row>
    <row r="26" customFormat="false" ht="15" hidden="false" customHeight="false" outlineLevel="0" collapsed="false">
      <c r="A26" s="13" t="n">
        <v>20</v>
      </c>
      <c r="B26" s="13" t="s">
        <v>1267</v>
      </c>
      <c r="C26" s="13" t="s">
        <v>1290</v>
      </c>
      <c r="D26" s="13" t="n">
        <v>2020</v>
      </c>
      <c r="E26" s="50" t="n">
        <f aca="false">CF!C40</f>
        <v>518530272130</v>
      </c>
      <c r="F26" s="50" t="n">
        <f aca="false">CF!C49</f>
        <v>518530272130</v>
      </c>
      <c r="G26" s="102" t="n">
        <f aca="false">IF(COUNT(E26:F26)=2,E26-F26,"")</f>
        <v>0</v>
      </c>
      <c r="H26" s="103" t="n">
        <v>1</v>
      </c>
      <c r="I26" s="4" t="str">
        <f aca="false">IF(COUNT(E26:F26)&lt;2,"N/A",IF(ABS(G26)&lt;=H26,"OK","❌"))</f>
        <v>OK</v>
      </c>
      <c r="J26" s="103" t="s">
        <v>1269</v>
      </c>
      <c r="K26" s="4" t="str">
        <f aca="false">IF(I26=J26,"✔ sesuai","✖ TIDAK sesuai")</f>
        <v>✔ sesuai</v>
      </c>
      <c r="L26" s="104"/>
    </row>
    <row r="27" customFormat="false" ht="15" hidden="false" customHeight="false" outlineLevel="0" collapsed="false">
      <c r="A27" s="13" t="n">
        <v>21</v>
      </c>
      <c r="B27" s="13" t="s">
        <v>1267</v>
      </c>
      <c r="C27" s="13" t="s">
        <v>1291</v>
      </c>
      <c r="D27" s="13" t="n">
        <v>2020</v>
      </c>
      <c r="E27" s="50" t="n">
        <f aca="false">CF!C43</f>
        <v>525479693804</v>
      </c>
      <c r="F27" s="50" t="n">
        <f aca="false">CF!C50</f>
        <v>525479693804</v>
      </c>
      <c r="G27" s="102" t="n">
        <f aca="false">IF(COUNT(E27:F27)=2,E27-F27,"")</f>
        <v>0</v>
      </c>
      <c r="H27" s="103" t="n">
        <v>1</v>
      </c>
      <c r="I27" s="4" t="str">
        <f aca="false">IF(COUNT(E27:F27)&lt;2,"N/A",IF(ABS(G27)&lt;=H27,"OK","❌"))</f>
        <v>OK</v>
      </c>
      <c r="J27" s="103" t="s">
        <v>1269</v>
      </c>
      <c r="K27" s="4" t="str">
        <f aca="false">IF(I27=J27,"✔ sesuai","✖ TIDAK sesuai")</f>
        <v>✔ sesuai</v>
      </c>
      <c r="L27" s="104"/>
    </row>
    <row r="28" customFormat="false" ht="15" hidden="false" customHeight="false" outlineLevel="0" collapsed="false">
      <c r="A28" s="13" t="n">
        <v>22</v>
      </c>
      <c r="B28" s="13" t="s">
        <v>1292</v>
      </c>
      <c r="C28" s="13" t="s">
        <v>1293</v>
      </c>
      <c r="D28" s="13" t="n">
        <v>2020</v>
      </c>
      <c r="E28" s="50" t="n">
        <f aca="false">BS!C21</f>
        <v>3445671264153</v>
      </c>
      <c r="F28" s="50" t="n">
        <f aca="false">BS!C48</f>
        <v>3445671264153</v>
      </c>
      <c r="G28" s="102" t="n">
        <f aca="false">IF(COUNT(E28:F28)=2,E28-F28,"")</f>
        <v>0</v>
      </c>
      <c r="H28" s="103" t="n">
        <v>1</v>
      </c>
      <c r="I28" s="4" t="str">
        <f aca="false">IF(COUNT(E28:F28)&lt;2,"N/A",IF(ABS(G28)&lt;=H28,"OK","❌"))</f>
        <v>OK</v>
      </c>
      <c r="J28" s="103" t="s">
        <v>1269</v>
      </c>
      <c r="K28" s="4" t="str">
        <f aca="false">IF(I28=J28,"✔ sesuai","✖ TIDAK sesuai")</f>
        <v>✔ sesuai</v>
      </c>
      <c r="L28" s="104"/>
    </row>
    <row r="29" customFormat="false" ht="15" hidden="false" customHeight="false" outlineLevel="0" collapsed="false">
      <c r="A29" s="13" t="n">
        <v>23</v>
      </c>
      <c r="B29" s="13" t="s">
        <v>1292</v>
      </c>
      <c r="C29" s="13" t="s">
        <v>1294</v>
      </c>
      <c r="D29" s="13" t="n">
        <v>2020</v>
      </c>
      <c r="E29" s="50" t="n">
        <f aca="false">IS!C17</f>
        <v>14167951136</v>
      </c>
      <c r="F29" s="50" t="n">
        <f aca="false">IS!C24+IS!C25</f>
        <v>14167951136</v>
      </c>
      <c r="G29" s="102" t="n">
        <f aca="false">IF(COUNT(E29:F29)=2,E29-F29,"")</f>
        <v>0</v>
      </c>
      <c r="H29" s="103" t="n">
        <v>1</v>
      </c>
      <c r="I29" s="4" t="str">
        <f aca="false">IF(COUNT(E29:F29)&lt;2,"N/A",IF(ABS(G29)&lt;=H29,"OK","❌"))</f>
        <v>OK</v>
      </c>
      <c r="J29" s="103" t="s">
        <v>1269</v>
      </c>
      <c r="K29" s="4" t="str">
        <f aca="false">IF(I29=J29,"✔ sesuai","✖ TIDAK sesuai")</f>
        <v>✔ sesuai</v>
      </c>
      <c r="L29" s="104"/>
    </row>
    <row r="30" customFormat="false" ht="15" hidden="false" customHeight="false" outlineLevel="0" collapsed="false">
      <c r="A30" s="13" t="n">
        <v>24</v>
      </c>
      <c r="B30" s="13" t="s">
        <v>1292</v>
      </c>
      <c r="C30" s="13" t="s">
        <v>1295</v>
      </c>
      <c r="D30" s="13" t="n">
        <v>2020</v>
      </c>
      <c r="E30" s="50" t="n">
        <f aca="false">IS!C22</f>
        <v>14333768293</v>
      </c>
      <c r="F30" s="50" t="n">
        <f aca="false">IS!C26+IS!C27</f>
        <v>14333768293</v>
      </c>
      <c r="G30" s="102" t="n">
        <f aca="false">IF(COUNT(E30:F30)=2,E30-F30,"")</f>
        <v>0</v>
      </c>
      <c r="H30" s="103" t="n">
        <v>1</v>
      </c>
      <c r="I30" s="4" t="str">
        <f aca="false">IF(COUNT(E30:F30)&lt;2,"N/A",IF(ABS(G30)&lt;=H30,"OK","❌"))</f>
        <v>OK</v>
      </c>
      <c r="J30" s="103" t="s">
        <v>1269</v>
      </c>
      <c r="K30" s="4" t="str">
        <f aca="false">IF(I30=J30,"✔ sesuai","✖ TIDAK sesuai")</f>
        <v>✔ sesuai</v>
      </c>
      <c r="L30" s="104"/>
    </row>
    <row r="31" customFormat="false" ht="15" hidden="false" customHeight="false" outlineLevel="0" collapsed="false">
      <c r="A31" s="13" t="n">
        <v>25</v>
      </c>
      <c r="B31" s="13" t="s">
        <v>1292</v>
      </c>
      <c r="C31" s="13" t="s">
        <v>1296</v>
      </c>
      <c r="D31" s="13" t="n">
        <v>2020</v>
      </c>
      <c r="E31" s="50" t="n">
        <f aca="false">CF!C43</f>
        <v>525479693804</v>
      </c>
      <c r="F31" s="50" t="n">
        <f aca="false">BS!C6</f>
        <v>525479693804</v>
      </c>
      <c r="G31" s="102" t="n">
        <f aca="false">IF(COUNT(E31:F31)=2,E31-F31,"")</f>
        <v>0</v>
      </c>
      <c r="H31" s="103" t="n">
        <v>1</v>
      </c>
      <c r="I31" s="4" t="str">
        <f aca="false">IF(COUNT(E31:F31)&lt;2,"N/A",IF(ABS(G31)&lt;=H31,"OK","❌"))</f>
        <v>OK</v>
      </c>
      <c r="J31" s="103" t="s">
        <v>1269</v>
      </c>
      <c r="K31" s="4" t="str">
        <f aca="false">IF(I31=J31,"✔ sesuai","✖ TIDAK sesuai")</f>
        <v>✔ sesuai</v>
      </c>
      <c r="L31" s="104"/>
    </row>
    <row r="32" customFormat="false" ht="15" hidden="false" customHeight="false" outlineLevel="0" collapsed="false">
      <c r="A32" s="13" t="n">
        <v>26</v>
      </c>
      <c r="B32" s="13" t="s">
        <v>1292</v>
      </c>
      <c r="C32" s="13" t="s">
        <v>1297</v>
      </c>
      <c r="D32" s="13" t="n">
        <v>2020</v>
      </c>
      <c r="E32" s="61" t="n">
        <v>0</v>
      </c>
      <c r="F32" s="50" t="n">
        <f aca="false">CF!C38</f>
        <v>0</v>
      </c>
      <c r="G32" s="102" t="n">
        <f aca="false">IF(COUNT(E32:F32)=2,E32-F32,"")</f>
        <v>0</v>
      </c>
      <c r="H32" s="103" t="n">
        <v>1</v>
      </c>
      <c r="I32" s="4" t="str">
        <f aca="false">IF(COUNT(E32:F32)&lt;2,"N/A",IF(ABS(G32)&lt;=H32,"OK","❌"))</f>
        <v>OK</v>
      </c>
      <c r="J32" s="103" t="s">
        <v>1269</v>
      </c>
      <c r="K32" s="4" t="str">
        <f aca="false">IF(I32=J32,"✔ sesuai","✖ TIDAK sesuai")</f>
        <v>✔ sesuai</v>
      </c>
      <c r="L32" s="104" t="s">
        <v>1298</v>
      </c>
    </row>
    <row r="33" customFormat="false" ht="15" hidden="false" customHeight="false" outlineLevel="0" collapsed="false">
      <c r="A33" s="13" t="n">
        <v>27</v>
      </c>
      <c r="B33" s="13" t="s">
        <v>1299</v>
      </c>
      <c r="C33" s="13" t="s">
        <v>1300</v>
      </c>
      <c r="D33" s="13" t="n">
        <v>2020</v>
      </c>
      <c r="E33" s="61"/>
      <c r="F33" s="61"/>
      <c r="G33" s="102" t="str">
        <f aca="false">IF(COUNT(E33:F33)=2,E33-F33,"")</f>
        <v/>
      </c>
      <c r="H33" s="103" t="n">
        <v>1</v>
      </c>
      <c r="I33" s="4" t="str">
        <f aca="false">IF(COUNT(E33:F33)&lt;2,"N/A",IF(ABS(G33)&lt;=H33,"OK","N/A"))</f>
        <v>N/A</v>
      </c>
      <c r="J33" s="103" t="s">
        <v>1301</v>
      </c>
      <c r="K33" s="4" t="str">
        <f aca="false">IF(I33=J33,"✔ sesuai","✖ TIDAK sesuai")</f>
        <v>✔ sesuai</v>
      </c>
      <c r="L33" s="104"/>
    </row>
    <row r="34" customFormat="false" ht="15" hidden="false" customHeight="false" outlineLevel="0" collapsed="false">
      <c r="A34" s="13" t="n">
        <v>28</v>
      </c>
      <c r="B34" s="13" t="s">
        <v>1302</v>
      </c>
      <c r="C34" s="13" t="s">
        <v>1303</v>
      </c>
      <c r="D34" s="13" t="n">
        <v>2020</v>
      </c>
      <c r="E34" s="50" t="n">
        <f aca="false">IS!C28</f>
        <v>0.51</v>
      </c>
      <c r="F34" s="50" t="n">
        <f aca="false">ROUND(IS!C24/(BS!C42/100),2)</f>
        <v>0.43</v>
      </c>
      <c r="G34" s="102" t="n">
        <f aca="false">IF(COUNT(E34:F34)=2,E34-F34,"")</f>
        <v>0.08</v>
      </c>
      <c r="H34" s="103" t="n">
        <v>1</v>
      </c>
      <c r="I34" s="4" t="str">
        <f aca="false">IF(COUNT(E34:F34)&lt;2,"N/A",IF(ABS(G34)&lt;=H34,"OK","❌"))</f>
        <v>OK</v>
      </c>
      <c r="J34" s="103" t="s">
        <v>1269</v>
      </c>
      <c r="K34" s="4" t="str">
        <f aca="false">IF(I34=J34,"✔ sesuai","✖ TIDAK sesuai")</f>
        <v>✔ sesuai</v>
      </c>
      <c r="L34" s="104" t="s">
        <v>1304</v>
      </c>
    </row>
    <row r="35" customFormat="false" ht="15" hidden="false" customHeight="false" outlineLevel="0" collapsed="false">
      <c r="A35" s="13" t="n">
        <v>29</v>
      </c>
      <c r="B35" s="13" t="s">
        <v>1267</v>
      </c>
      <c r="C35" s="13" t="s">
        <v>1268</v>
      </c>
      <c r="D35" s="13" t="n">
        <v>2021</v>
      </c>
      <c r="E35" s="50" t="n">
        <f aca="false">IS!D8</f>
        <v>145933919448</v>
      </c>
      <c r="F35" s="50" t="n">
        <f aca="false">IS!D34</f>
        <v>145933919448</v>
      </c>
      <c r="G35" s="102" t="n">
        <f aca="false">IF(COUNT(E35:F35)=2,E35-F35,"")</f>
        <v>0</v>
      </c>
      <c r="H35" s="103" t="n">
        <v>1</v>
      </c>
      <c r="I35" s="4" t="str">
        <f aca="false">IF(COUNT(E35:F35)&lt;2,"N/A",IF(ABS(G35)&lt;=H35,"OK","❌"))</f>
        <v>OK</v>
      </c>
      <c r="J35" s="103" t="s">
        <v>1269</v>
      </c>
      <c r="K35" s="4" t="str">
        <f aca="false">IF(I35=J35,"✔ sesuai","✖ TIDAK sesuai")</f>
        <v>✔ sesuai</v>
      </c>
      <c r="L35" s="104"/>
    </row>
    <row r="36" customFormat="false" ht="15" hidden="false" customHeight="false" outlineLevel="0" collapsed="false">
      <c r="A36" s="13" t="n">
        <v>30</v>
      </c>
      <c r="B36" s="13" t="s">
        <v>1267</v>
      </c>
      <c r="C36" s="13" t="s">
        <v>1270</v>
      </c>
      <c r="D36" s="13" t="n">
        <v>2021</v>
      </c>
      <c r="E36" s="50" t="n">
        <f aca="false">IS!D10</f>
        <v>14097957167</v>
      </c>
      <c r="F36" s="50" t="n">
        <f aca="false">IS!D35</f>
        <v>14097957167</v>
      </c>
      <c r="G36" s="102" t="n">
        <f aca="false">IF(COUNT(E36:F36)=2,E36-F36,"")</f>
        <v>0</v>
      </c>
      <c r="H36" s="103" t="n">
        <v>1</v>
      </c>
      <c r="I36" s="4" t="str">
        <f aca="false">IF(COUNT(E36:F36)&lt;2,"N/A",IF(ABS(G36)&lt;=H36,"OK","❌"))</f>
        <v>OK</v>
      </c>
      <c r="J36" s="103" t="s">
        <v>1269</v>
      </c>
      <c r="K36" s="4" t="str">
        <f aca="false">IF(I36=J36,"✔ sesuai","✖ TIDAK sesuai")</f>
        <v>✔ sesuai</v>
      </c>
      <c r="L36" s="104"/>
    </row>
    <row r="37" customFormat="false" ht="15" hidden="false" customHeight="false" outlineLevel="0" collapsed="false">
      <c r="A37" s="13" t="n">
        <v>31</v>
      </c>
      <c r="B37" s="13" t="s">
        <v>1267</v>
      </c>
      <c r="C37" s="13" t="s">
        <v>1271</v>
      </c>
      <c r="D37" s="13" t="n">
        <v>2021</v>
      </c>
      <c r="E37" s="50" t="n">
        <f aca="false">IS!D15</f>
        <v>6506538854</v>
      </c>
      <c r="F37" s="50" t="n">
        <f aca="false">IS!D36</f>
        <v>6506538854</v>
      </c>
      <c r="G37" s="102" t="n">
        <f aca="false">IF(COUNT(E37:F37)=2,E37-F37,"")</f>
        <v>0</v>
      </c>
      <c r="H37" s="103" t="n">
        <v>1</v>
      </c>
      <c r="I37" s="4" t="str">
        <f aca="false">IF(COUNT(E37:F37)&lt;2,"N/A",IF(ABS(G37)&lt;=H37,"OK","❌"))</f>
        <v>OK</v>
      </c>
      <c r="J37" s="103" t="s">
        <v>1269</v>
      </c>
      <c r="K37" s="4" t="str">
        <f aca="false">IF(I37=J37,"✔ sesuai","✖ TIDAK sesuai")</f>
        <v>✔ sesuai</v>
      </c>
      <c r="L37" s="104"/>
    </row>
    <row r="38" customFormat="false" ht="15" hidden="false" customHeight="false" outlineLevel="0" collapsed="false">
      <c r="A38" s="13" t="n">
        <v>32</v>
      </c>
      <c r="B38" s="13" t="s">
        <v>1267</v>
      </c>
      <c r="C38" s="13" t="s">
        <v>1272</v>
      </c>
      <c r="D38" s="13" t="n">
        <v>2021</v>
      </c>
      <c r="E38" s="50" t="n">
        <f aca="false">IS!D17</f>
        <v>6173624777</v>
      </c>
      <c r="F38" s="50" t="n">
        <f aca="false">IS!D37</f>
        <v>6173624777</v>
      </c>
      <c r="G38" s="102" t="n">
        <f aca="false">IF(COUNT(E38:F38)=2,E38-F38,"")</f>
        <v>0</v>
      </c>
      <c r="H38" s="103" t="n">
        <v>1</v>
      </c>
      <c r="I38" s="4" t="str">
        <f aca="false">IF(COUNT(E38:F38)&lt;2,"N/A",IF(ABS(G38)&lt;=H38,"OK","❌"))</f>
        <v>OK</v>
      </c>
      <c r="J38" s="103" t="s">
        <v>1269</v>
      </c>
      <c r="K38" s="4" t="str">
        <f aca="false">IF(I38=J38,"✔ sesuai","✖ TIDAK sesuai")</f>
        <v>✔ sesuai</v>
      </c>
      <c r="L38" s="104"/>
    </row>
    <row r="39" customFormat="false" ht="15" hidden="false" customHeight="false" outlineLevel="0" collapsed="false">
      <c r="A39" s="13" t="n">
        <v>33</v>
      </c>
      <c r="B39" s="13" t="s">
        <v>1267</v>
      </c>
      <c r="C39" s="13" t="s">
        <v>1273</v>
      </c>
      <c r="D39" s="13" t="n">
        <v>2021</v>
      </c>
      <c r="E39" s="50" t="n">
        <f aca="false">IS!D21</f>
        <v>1336779804</v>
      </c>
      <c r="F39" s="50" t="n">
        <f aca="false">IS!D38</f>
        <v>1336779804</v>
      </c>
      <c r="G39" s="102" t="n">
        <f aca="false">IF(COUNT(E39:F39)=2,E39-F39,"")</f>
        <v>0</v>
      </c>
      <c r="H39" s="103" t="n">
        <v>1</v>
      </c>
      <c r="I39" s="4" t="str">
        <f aca="false">IF(COUNT(E39:F39)&lt;2,"N/A",IF(ABS(G39)&lt;=H39,"OK","❌"))</f>
        <v>OK</v>
      </c>
      <c r="J39" s="103" t="s">
        <v>1269</v>
      </c>
      <c r="K39" s="4" t="str">
        <f aca="false">IF(I39=J39,"✔ sesuai","✖ TIDAK sesuai")</f>
        <v>✔ sesuai</v>
      </c>
      <c r="L39" s="104"/>
    </row>
    <row r="40" customFormat="false" ht="15" hidden="false" customHeight="false" outlineLevel="0" collapsed="false">
      <c r="A40" s="13" t="n">
        <v>34</v>
      </c>
      <c r="B40" s="13" t="s">
        <v>1267</v>
      </c>
      <c r="C40" s="13" t="s">
        <v>1274</v>
      </c>
      <c r="D40" s="13" t="n">
        <v>2021</v>
      </c>
      <c r="E40" s="50" t="n">
        <f aca="false">IS!D22</f>
        <v>7510404581</v>
      </c>
      <c r="F40" s="50" t="n">
        <f aca="false">IS!D39</f>
        <v>7510404581</v>
      </c>
      <c r="G40" s="102" t="n">
        <f aca="false">IF(COUNT(E40:F40)=2,E40-F40,"")</f>
        <v>0</v>
      </c>
      <c r="H40" s="103" t="n">
        <v>1</v>
      </c>
      <c r="I40" s="4" t="str">
        <f aca="false">IF(COUNT(E40:F40)&lt;2,"N/A",IF(ABS(G40)&lt;=H40,"OK","❌"))</f>
        <v>OK</v>
      </c>
      <c r="J40" s="103" t="s">
        <v>1269</v>
      </c>
      <c r="K40" s="4" t="str">
        <f aca="false">IF(I40=J40,"✔ sesuai","✖ TIDAK sesuai")</f>
        <v>✔ sesuai</v>
      </c>
      <c r="L40" s="104"/>
    </row>
    <row r="41" customFormat="false" ht="15" hidden="false" customHeight="false" outlineLevel="0" collapsed="false">
      <c r="A41" s="13" t="n">
        <v>35</v>
      </c>
      <c r="B41" s="13" t="s">
        <v>1267</v>
      </c>
      <c r="C41" s="13" t="s">
        <v>1275</v>
      </c>
      <c r="D41" s="13" t="n">
        <v>2021</v>
      </c>
      <c r="E41" s="50" t="n">
        <f aca="false">BS!D15</f>
        <v>1254261046809</v>
      </c>
      <c r="F41" s="50" t="n">
        <f aca="false">BS!D50</f>
        <v>1254261046809</v>
      </c>
      <c r="G41" s="102" t="n">
        <f aca="false">IF(COUNT(E41:F41)=2,E41-F41,"")</f>
        <v>0</v>
      </c>
      <c r="H41" s="103" t="n">
        <v>1</v>
      </c>
      <c r="I41" s="4" t="str">
        <f aca="false">IF(COUNT(E41:F41)&lt;2,"N/A",IF(ABS(G41)&lt;=H41,"OK","❌"))</f>
        <v>OK</v>
      </c>
      <c r="J41" s="103" t="s">
        <v>1269</v>
      </c>
      <c r="K41" s="4" t="str">
        <f aca="false">IF(I41=J41,"✔ sesuai","✖ TIDAK sesuai")</f>
        <v>✔ sesuai</v>
      </c>
      <c r="L41" s="104"/>
    </row>
    <row r="42" customFormat="false" ht="15" hidden="false" customHeight="false" outlineLevel="0" collapsed="false">
      <c r="A42" s="13" t="n">
        <v>36</v>
      </c>
      <c r="B42" s="13" t="s">
        <v>1267</v>
      </c>
      <c r="C42" s="13" t="s">
        <v>1276</v>
      </c>
      <c r="D42" s="13" t="n">
        <v>2021</v>
      </c>
      <c r="E42" s="50" t="n">
        <f aca="false">BS!D20</f>
        <v>2956950755449</v>
      </c>
      <c r="F42" s="50" t="n">
        <f aca="false">BS!D51</f>
        <v>2956950755449</v>
      </c>
      <c r="G42" s="102" t="n">
        <f aca="false">IF(COUNT(E42:F42)=2,E42-F42,"")</f>
        <v>0</v>
      </c>
      <c r="H42" s="103" t="n">
        <v>1</v>
      </c>
      <c r="I42" s="4" t="str">
        <f aca="false">IF(COUNT(E42:F42)&lt;2,"N/A",IF(ABS(G42)&lt;=H42,"OK","❌"))</f>
        <v>OK</v>
      </c>
      <c r="J42" s="103" t="s">
        <v>1269</v>
      </c>
      <c r="K42" s="4" t="str">
        <f aca="false">IF(I42=J42,"✔ sesuai","✖ TIDAK sesuai")</f>
        <v>✔ sesuai</v>
      </c>
      <c r="L42" s="104"/>
    </row>
    <row r="43" customFormat="false" ht="15" hidden="false" customHeight="false" outlineLevel="0" collapsed="false">
      <c r="A43" s="13" t="n">
        <v>37</v>
      </c>
      <c r="B43" s="13" t="s">
        <v>1267</v>
      </c>
      <c r="C43" s="13" t="s">
        <v>1277</v>
      </c>
      <c r="D43" s="13" t="n">
        <v>2021</v>
      </c>
      <c r="E43" s="50" t="n">
        <f aca="false">BS!D21</f>
        <v>4211211802258</v>
      </c>
      <c r="F43" s="50" t="n">
        <f aca="false">BS!D52</f>
        <v>4211211802258</v>
      </c>
      <c r="G43" s="102" t="n">
        <f aca="false">IF(COUNT(E43:F43)=2,E43-F43,"")</f>
        <v>0</v>
      </c>
      <c r="H43" s="103" t="n">
        <v>1</v>
      </c>
      <c r="I43" s="4" t="str">
        <f aca="false">IF(COUNT(E43:F43)&lt;2,"N/A",IF(ABS(G43)&lt;=H43,"OK","❌"))</f>
        <v>OK</v>
      </c>
      <c r="J43" s="103" t="s">
        <v>1269</v>
      </c>
      <c r="K43" s="4" t="str">
        <f aca="false">IF(I43=J43,"✔ sesuai","✖ TIDAK sesuai")</f>
        <v>✔ sesuai</v>
      </c>
      <c r="L43" s="104"/>
    </row>
    <row r="44" customFormat="false" ht="15" hidden="false" customHeight="false" outlineLevel="0" collapsed="false">
      <c r="A44" s="13" t="n">
        <v>38</v>
      </c>
      <c r="B44" s="13" t="s">
        <v>1267</v>
      </c>
      <c r="C44" s="13" t="s">
        <v>1278</v>
      </c>
      <c r="D44" s="13" t="n">
        <v>2021</v>
      </c>
      <c r="E44" s="50" t="n">
        <f aca="false">BS!D33</f>
        <v>77659223975</v>
      </c>
      <c r="F44" s="50" t="n">
        <f aca="false">BS!D53</f>
        <v>77659223975</v>
      </c>
      <c r="G44" s="102" t="n">
        <f aca="false">IF(COUNT(E44:F44)=2,E44-F44,"")</f>
        <v>0</v>
      </c>
      <c r="H44" s="103" t="n">
        <v>1</v>
      </c>
      <c r="I44" s="4" t="str">
        <f aca="false">IF(COUNT(E44:F44)&lt;2,"N/A",IF(ABS(G44)&lt;=H44,"OK","❌"))</f>
        <v>OK</v>
      </c>
      <c r="J44" s="103" t="s">
        <v>1269</v>
      </c>
      <c r="K44" s="4" t="str">
        <f aca="false">IF(I44=J44,"✔ sesuai","✖ TIDAK sesuai")</f>
        <v>✔ sesuai</v>
      </c>
      <c r="L44" s="104"/>
    </row>
    <row r="45" customFormat="false" ht="15" hidden="false" customHeight="false" outlineLevel="0" collapsed="false">
      <c r="A45" s="13" t="n">
        <v>39</v>
      </c>
      <c r="B45" s="13" t="s">
        <v>1267</v>
      </c>
      <c r="C45" s="13" t="s">
        <v>1279</v>
      </c>
      <c r="D45" s="13" t="n">
        <v>2021</v>
      </c>
      <c r="E45" s="50" t="n">
        <f aca="false">BS!D39</f>
        <v>835284734446</v>
      </c>
      <c r="F45" s="50" t="n">
        <f aca="false">BS!D54</f>
        <v>835284734446</v>
      </c>
      <c r="G45" s="102" t="n">
        <f aca="false">IF(COUNT(E45:F45)=2,E45-F45,"")</f>
        <v>0</v>
      </c>
      <c r="H45" s="103" t="n">
        <v>1</v>
      </c>
      <c r="I45" s="4" t="str">
        <f aca="false">IF(COUNT(E45:F45)&lt;2,"N/A",IF(ABS(G45)&lt;=H45,"OK","❌"))</f>
        <v>OK</v>
      </c>
      <c r="J45" s="103" t="s">
        <v>1269</v>
      </c>
      <c r="K45" s="4" t="str">
        <f aca="false">IF(I45=J45,"✔ sesuai","✖ TIDAK sesuai")</f>
        <v>✔ sesuai</v>
      </c>
      <c r="L45" s="104"/>
    </row>
    <row r="46" customFormat="false" ht="15" hidden="false" customHeight="false" outlineLevel="0" collapsed="false">
      <c r="A46" s="13" t="n">
        <v>40</v>
      </c>
      <c r="B46" s="13" t="s">
        <v>1267</v>
      </c>
      <c r="C46" s="13" t="s">
        <v>1280</v>
      </c>
      <c r="D46" s="13" t="n">
        <v>2021</v>
      </c>
      <c r="E46" s="50" t="n">
        <f aca="false">BS!D40</f>
        <v>912943958421</v>
      </c>
      <c r="F46" s="50" t="n">
        <f aca="false">BS!D55</f>
        <v>912943958421</v>
      </c>
      <c r="G46" s="102" t="n">
        <f aca="false">IF(COUNT(E46:F46)=2,E46-F46,"")</f>
        <v>0</v>
      </c>
      <c r="H46" s="103" t="n">
        <v>1</v>
      </c>
      <c r="I46" s="4" t="str">
        <f aca="false">IF(COUNT(E46:F46)&lt;2,"N/A",IF(ABS(G46)&lt;=H46,"OK","❌"))</f>
        <v>OK</v>
      </c>
      <c r="J46" s="103" t="s">
        <v>1269</v>
      </c>
      <c r="K46" s="4" t="str">
        <f aca="false">IF(I46=J46,"✔ sesuai","✖ TIDAK sesuai")</f>
        <v>✔ sesuai</v>
      </c>
      <c r="L46" s="104"/>
    </row>
    <row r="47" customFormat="false" ht="15" hidden="false" customHeight="false" outlineLevel="0" collapsed="false">
      <c r="A47" s="13" t="n">
        <v>41</v>
      </c>
      <c r="B47" s="13" t="s">
        <v>1267</v>
      </c>
      <c r="C47" s="13" t="s">
        <v>1281</v>
      </c>
      <c r="D47" s="13" t="n">
        <v>2021</v>
      </c>
      <c r="E47" s="50" t="n">
        <f aca="false">BS!D45</f>
        <v>3297251127929</v>
      </c>
      <c r="F47" s="50" t="n">
        <f aca="false">BS!D56</f>
        <v>3297251127929</v>
      </c>
      <c r="G47" s="102" t="n">
        <f aca="false">IF(COUNT(E47:F47)=2,E47-F47,"")</f>
        <v>0</v>
      </c>
      <c r="H47" s="103" t="n">
        <v>1</v>
      </c>
      <c r="I47" s="4" t="str">
        <f aca="false">IF(COUNT(E47:F47)&lt;2,"N/A",IF(ABS(G47)&lt;=H47,"OK","❌"))</f>
        <v>OK</v>
      </c>
      <c r="J47" s="103" t="s">
        <v>1269</v>
      </c>
      <c r="K47" s="4" t="str">
        <f aca="false">IF(I47=J47,"✔ sesuai","✖ TIDAK sesuai")</f>
        <v>✔ sesuai</v>
      </c>
      <c r="L47" s="104"/>
    </row>
    <row r="48" customFormat="false" ht="15" hidden="false" customHeight="false" outlineLevel="0" collapsed="false">
      <c r="A48" s="13" t="n">
        <v>42</v>
      </c>
      <c r="B48" s="13" t="s">
        <v>1267</v>
      </c>
      <c r="C48" s="13" t="s">
        <v>1282</v>
      </c>
      <c r="D48" s="13" t="n">
        <v>2021</v>
      </c>
      <c r="E48" s="50" t="n">
        <f aca="false">BS!D47</f>
        <v>3298267843837</v>
      </c>
      <c r="F48" s="50" t="n">
        <f aca="false">BS!D57</f>
        <v>3298267843837</v>
      </c>
      <c r="G48" s="102" t="n">
        <f aca="false">IF(COUNT(E48:F48)=2,E48-F48,"")</f>
        <v>0</v>
      </c>
      <c r="H48" s="103" t="n">
        <v>1</v>
      </c>
      <c r="I48" s="4" t="str">
        <f aca="false">IF(COUNT(E48:F48)&lt;2,"N/A",IF(ABS(G48)&lt;=H48,"OK","❌"))</f>
        <v>OK</v>
      </c>
      <c r="J48" s="103" t="s">
        <v>1269</v>
      </c>
      <c r="K48" s="4" t="str">
        <f aca="false">IF(I48=J48,"✔ sesuai","✖ TIDAK sesuai")</f>
        <v>✔ sesuai</v>
      </c>
      <c r="L48" s="104"/>
    </row>
    <row r="49" customFormat="false" ht="15" hidden="false" customHeight="false" outlineLevel="0" collapsed="false">
      <c r="A49" s="13" t="n">
        <v>43</v>
      </c>
      <c r="B49" s="13" t="s">
        <v>1267</v>
      </c>
      <c r="C49" s="13" t="s">
        <v>1283</v>
      </c>
      <c r="D49" s="13" t="n">
        <v>2021</v>
      </c>
      <c r="E49" s="50" t="n">
        <f aca="false">BS!D48</f>
        <v>4211211802258</v>
      </c>
      <c r="F49" s="50" t="n">
        <f aca="false">BS!D58</f>
        <v>4211211802258</v>
      </c>
      <c r="G49" s="102" t="n">
        <f aca="false">IF(COUNT(E49:F49)=2,E49-F49,"")</f>
        <v>0</v>
      </c>
      <c r="H49" s="103" t="n">
        <v>1</v>
      </c>
      <c r="I49" s="4" t="str">
        <f aca="false">IF(COUNT(E49:F49)&lt;2,"N/A",IF(ABS(G49)&lt;=H49,"OK","❌"))</f>
        <v>OK</v>
      </c>
      <c r="J49" s="103" t="s">
        <v>1269</v>
      </c>
      <c r="K49" s="4" t="str">
        <f aca="false">IF(I49=J49,"✔ sesuai","✖ TIDAK sesuai")</f>
        <v>✔ sesuai</v>
      </c>
      <c r="L49" s="104"/>
    </row>
    <row r="50" customFormat="false" ht="15" hidden="false" customHeight="false" outlineLevel="0" collapsed="false">
      <c r="A50" s="13" t="n">
        <v>44</v>
      </c>
      <c r="B50" s="13" t="s">
        <v>1267</v>
      </c>
      <c r="C50" s="13" t="s">
        <v>1284</v>
      </c>
      <c r="D50" s="13" t="n">
        <v>2021</v>
      </c>
      <c r="E50" s="50" t="n">
        <f aca="false">CF!D10</f>
        <v>58484763073</v>
      </c>
      <c r="F50" s="50" t="n">
        <f aca="false">CF!D45</f>
        <v>0</v>
      </c>
      <c r="G50" s="102" t="n">
        <f aca="false">IF(COUNT(E50:F50)=2,E50-F50,"")</f>
        <v>58484763073</v>
      </c>
      <c r="H50" s="103" t="n">
        <v>1</v>
      </c>
      <c r="I50" s="4" t="str">
        <f aca="false">IF(COUNT(E50:F50)&lt;2,"N/A",IF(ABS(G50)&lt;=H50,"OK","❌"))</f>
        <v>❌</v>
      </c>
      <c r="J50" s="103" t="s">
        <v>1285</v>
      </c>
      <c r="K50" s="4" t="str">
        <f aca="false">IF(I50=J50,"✔ sesuai","✖ TIDAK sesuai")</f>
        <v>✔ sesuai</v>
      </c>
      <c r="L50" s="104" t="s">
        <v>1305</v>
      </c>
    </row>
    <row r="51" customFormat="false" ht="15" hidden="false" customHeight="false" outlineLevel="0" collapsed="false">
      <c r="A51" s="13" t="n">
        <v>45</v>
      </c>
      <c r="B51" s="13" t="s">
        <v>1267</v>
      </c>
      <c r="C51" s="13" t="s">
        <v>1287</v>
      </c>
      <c r="D51" s="13" t="n">
        <v>2021</v>
      </c>
      <c r="E51" s="50" t="n">
        <f aca="false">CF!D14</f>
        <v>47129089642</v>
      </c>
      <c r="F51" s="50" t="n">
        <f aca="false">CF!D46</f>
        <v>47129089642</v>
      </c>
      <c r="G51" s="102" t="n">
        <f aca="false">IF(COUNT(E51:F51)=2,E51-F51,"")</f>
        <v>0</v>
      </c>
      <c r="H51" s="103" t="n">
        <v>1</v>
      </c>
      <c r="I51" s="4" t="str">
        <f aca="false">IF(COUNT(E51:F51)&lt;2,"N/A",IF(ABS(G51)&lt;=H51,"OK","❌"))</f>
        <v>OK</v>
      </c>
      <c r="J51" s="103" t="s">
        <v>1269</v>
      </c>
      <c r="K51" s="4" t="str">
        <f aca="false">IF(I51=J51,"✔ sesuai","✖ TIDAK sesuai")</f>
        <v>✔ sesuai</v>
      </c>
      <c r="L51" s="104"/>
    </row>
    <row r="52" customFormat="false" ht="15" hidden="false" customHeight="false" outlineLevel="0" collapsed="false">
      <c r="A52" s="13" t="n">
        <v>46</v>
      </c>
      <c r="B52" s="13" t="s">
        <v>1267</v>
      </c>
      <c r="C52" s="13" t="s">
        <v>1288</v>
      </c>
      <c r="D52" s="13" t="n">
        <v>2021</v>
      </c>
      <c r="E52" s="50" t="n">
        <f aca="false">CF!D23</f>
        <v>-760313339809</v>
      </c>
      <c r="F52" s="50" t="n">
        <f aca="false">CF!D47</f>
        <v>-760313339809</v>
      </c>
      <c r="G52" s="102" t="n">
        <f aca="false">IF(COUNT(E52:F52)=2,E52-F52,"")</f>
        <v>0</v>
      </c>
      <c r="H52" s="103" t="n">
        <v>1</v>
      </c>
      <c r="I52" s="4" t="str">
        <f aca="false">IF(COUNT(E52:F52)&lt;2,"N/A",IF(ABS(G52)&lt;=H52,"OK","❌"))</f>
        <v>OK</v>
      </c>
      <c r="J52" s="103" t="s">
        <v>1269</v>
      </c>
      <c r="K52" s="4" t="str">
        <f aca="false">IF(I52=J52,"✔ sesuai","✖ TIDAK sesuai")</f>
        <v>✔ sesuai</v>
      </c>
      <c r="L52" s="104"/>
    </row>
    <row r="53" customFormat="false" ht="15" hidden="false" customHeight="false" outlineLevel="0" collapsed="false">
      <c r="A53" s="13" t="n">
        <v>47</v>
      </c>
      <c r="B53" s="13" t="s">
        <v>1267</v>
      </c>
      <c r="C53" s="13" t="s">
        <v>1289</v>
      </c>
      <c r="D53" s="13" t="n">
        <v>2021</v>
      </c>
      <c r="E53" s="50" t="n">
        <f aca="false">CF!D39</f>
        <v>727451787424</v>
      </c>
      <c r="F53" s="50" t="n">
        <f aca="false">CF!D48</f>
        <v>727451787424</v>
      </c>
      <c r="G53" s="102" t="n">
        <f aca="false">IF(COUNT(E53:F53)=2,E53-F53,"")</f>
        <v>0</v>
      </c>
      <c r="H53" s="103" t="n">
        <v>1</v>
      </c>
      <c r="I53" s="4" t="str">
        <f aca="false">IF(COUNT(E53:F53)&lt;2,"N/A",IF(ABS(G53)&lt;=H53,"OK","❌"))</f>
        <v>OK</v>
      </c>
      <c r="J53" s="103" t="s">
        <v>1269</v>
      </c>
      <c r="K53" s="4" t="str">
        <f aca="false">IF(I53=J53,"✔ sesuai","✖ TIDAK sesuai")</f>
        <v>✔ sesuai</v>
      </c>
      <c r="L53" s="104"/>
    </row>
    <row r="54" customFormat="false" ht="15" hidden="false" customHeight="false" outlineLevel="0" collapsed="false">
      <c r="A54" s="13" t="n">
        <v>48</v>
      </c>
      <c r="B54" s="13" t="s">
        <v>1267</v>
      </c>
      <c r="C54" s="13" t="s">
        <v>1290</v>
      </c>
      <c r="D54" s="13" t="n">
        <v>2021</v>
      </c>
      <c r="E54" s="50" t="n">
        <f aca="false">CF!D40</f>
        <v>14267537257</v>
      </c>
      <c r="F54" s="50" t="n">
        <f aca="false">CF!D49</f>
        <v>14267537257</v>
      </c>
      <c r="G54" s="102" t="n">
        <f aca="false">IF(COUNT(E54:F54)=2,E54-F54,"")</f>
        <v>0</v>
      </c>
      <c r="H54" s="103" t="n">
        <v>1</v>
      </c>
      <c r="I54" s="4" t="str">
        <f aca="false">IF(COUNT(E54:F54)&lt;2,"N/A",IF(ABS(G54)&lt;=H54,"OK","❌"))</f>
        <v>OK</v>
      </c>
      <c r="J54" s="103" t="s">
        <v>1269</v>
      </c>
      <c r="K54" s="4" t="str">
        <f aca="false">IF(I54=J54,"✔ sesuai","✖ TIDAK sesuai")</f>
        <v>✔ sesuai</v>
      </c>
      <c r="L54" s="104"/>
    </row>
    <row r="55" customFormat="false" ht="15" hidden="false" customHeight="false" outlineLevel="0" collapsed="false">
      <c r="A55" s="13" t="n">
        <v>49</v>
      </c>
      <c r="B55" s="13" t="s">
        <v>1267</v>
      </c>
      <c r="C55" s="13" t="s">
        <v>1291</v>
      </c>
      <c r="D55" s="13" t="n">
        <v>2021</v>
      </c>
      <c r="E55" s="50" t="n">
        <f aca="false">CF!D43</f>
        <v>542400475238</v>
      </c>
      <c r="F55" s="50" t="n">
        <f aca="false">CF!D50</f>
        <v>542400475238</v>
      </c>
      <c r="G55" s="102" t="n">
        <f aca="false">IF(COUNT(E55:F55)=2,E55-F55,"")</f>
        <v>0</v>
      </c>
      <c r="H55" s="103" t="n">
        <v>1</v>
      </c>
      <c r="I55" s="4" t="str">
        <f aca="false">IF(COUNT(E55:F55)&lt;2,"N/A",IF(ABS(G55)&lt;=H55,"OK","❌"))</f>
        <v>OK</v>
      </c>
      <c r="J55" s="103" t="s">
        <v>1269</v>
      </c>
      <c r="K55" s="4" t="str">
        <f aca="false">IF(I55=J55,"✔ sesuai","✖ TIDAK sesuai")</f>
        <v>✔ sesuai</v>
      </c>
      <c r="L55" s="104"/>
    </row>
    <row r="56" customFormat="false" ht="15" hidden="false" customHeight="false" outlineLevel="0" collapsed="false">
      <c r="A56" s="13" t="n">
        <v>50</v>
      </c>
      <c r="B56" s="13" t="s">
        <v>1292</v>
      </c>
      <c r="C56" s="13" t="s">
        <v>1293</v>
      </c>
      <c r="D56" s="13" t="n">
        <v>2021</v>
      </c>
      <c r="E56" s="50" t="n">
        <f aca="false">BS!D21</f>
        <v>4211211802258</v>
      </c>
      <c r="F56" s="50" t="n">
        <f aca="false">BS!D48</f>
        <v>4211211802258</v>
      </c>
      <c r="G56" s="102" t="n">
        <f aca="false">IF(COUNT(E56:F56)=2,E56-F56,"")</f>
        <v>0</v>
      </c>
      <c r="H56" s="103" t="n">
        <v>1</v>
      </c>
      <c r="I56" s="4" t="str">
        <f aca="false">IF(COUNT(E56:F56)&lt;2,"N/A",IF(ABS(G56)&lt;=H56,"OK","❌"))</f>
        <v>OK</v>
      </c>
      <c r="J56" s="103" t="s">
        <v>1269</v>
      </c>
      <c r="K56" s="4" t="str">
        <f aca="false">IF(I56=J56,"✔ sesuai","✖ TIDAK sesuai")</f>
        <v>✔ sesuai</v>
      </c>
      <c r="L56" s="104"/>
    </row>
    <row r="57" customFormat="false" ht="15" hidden="false" customHeight="false" outlineLevel="0" collapsed="false">
      <c r="A57" s="13" t="n">
        <v>51</v>
      </c>
      <c r="B57" s="13" t="s">
        <v>1292</v>
      </c>
      <c r="C57" s="13" t="s">
        <v>1294</v>
      </c>
      <c r="D57" s="13" t="n">
        <v>2021</v>
      </c>
      <c r="E57" s="50" t="n">
        <f aca="false">IS!D17</f>
        <v>6173624777</v>
      </c>
      <c r="F57" s="50" t="n">
        <f aca="false">IS!D24+IS!D25</f>
        <v>6173624777</v>
      </c>
      <c r="G57" s="102" t="n">
        <f aca="false">IF(COUNT(E57:F57)=2,E57-F57,"")</f>
        <v>0</v>
      </c>
      <c r="H57" s="103" t="n">
        <v>1</v>
      </c>
      <c r="I57" s="4" t="str">
        <f aca="false">IF(COUNT(E57:F57)&lt;2,"N/A",IF(ABS(G57)&lt;=H57,"OK","❌"))</f>
        <v>OK</v>
      </c>
      <c r="J57" s="103" t="s">
        <v>1269</v>
      </c>
      <c r="K57" s="4" t="str">
        <f aca="false">IF(I57=J57,"✔ sesuai","✖ TIDAK sesuai")</f>
        <v>✔ sesuai</v>
      </c>
      <c r="L57" s="104"/>
    </row>
    <row r="58" customFormat="false" ht="15" hidden="false" customHeight="false" outlineLevel="0" collapsed="false">
      <c r="A58" s="13" t="n">
        <v>52</v>
      </c>
      <c r="B58" s="13" t="s">
        <v>1292</v>
      </c>
      <c r="C58" s="13" t="s">
        <v>1295</v>
      </c>
      <c r="D58" s="13" t="n">
        <v>2021</v>
      </c>
      <c r="E58" s="50" t="n">
        <f aca="false">IS!D22</f>
        <v>7510404581</v>
      </c>
      <c r="F58" s="50" t="n">
        <f aca="false">IS!D26+IS!D27</f>
        <v>7510404581</v>
      </c>
      <c r="G58" s="102" t="n">
        <f aca="false">IF(COUNT(E58:F58)=2,E58-F58,"")</f>
        <v>0</v>
      </c>
      <c r="H58" s="103" t="n">
        <v>1</v>
      </c>
      <c r="I58" s="4" t="str">
        <f aca="false">IF(COUNT(E58:F58)&lt;2,"N/A",IF(ABS(G58)&lt;=H58,"OK","❌"))</f>
        <v>OK</v>
      </c>
      <c r="J58" s="103" t="s">
        <v>1269</v>
      </c>
      <c r="K58" s="4" t="str">
        <f aca="false">IF(I58=J58,"✔ sesuai","✖ TIDAK sesuai")</f>
        <v>✔ sesuai</v>
      </c>
      <c r="L58" s="104"/>
    </row>
    <row r="59" customFormat="false" ht="15" hidden="false" customHeight="false" outlineLevel="0" collapsed="false">
      <c r="A59" s="13" t="n">
        <v>53</v>
      </c>
      <c r="B59" s="13" t="s">
        <v>1292</v>
      </c>
      <c r="C59" s="13" t="s">
        <v>1296</v>
      </c>
      <c r="D59" s="13" t="n">
        <v>2021</v>
      </c>
      <c r="E59" s="50" t="n">
        <f aca="false">CF!D43</f>
        <v>542400475238</v>
      </c>
      <c r="F59" s="50" t="n">
        <f aca="false">BS!D6</f>
        <v>542400475238</v>
      </c>
      <c r="G59" s="102" t="n">
        <f aca="false">IF(COUNT(E59:F59)=2,E59-F59,"")</f>
        <v>0</v>
      </c>
      <c r="H59" s="103" t="n">
        <v>1</v>
      </c>
      <c r="I59" s="4" t="str">
        <f aca="false">IF(COUNT(E59:F59)&lt;2,"N/A",IF(ABS(G59)&lt;=H59,"OK","❌"))</f>
        <v>OK</v>
      </c>
      <c r="J59" s="103" t="s">
        <v>1269</v>
      </c>
      <c r="K59" s="4" t="str">
        <f aca="false">IF(I59=J59,"✔ sesuai","✖ TIDAK sesuai")</f>
        <v>✔ sesuai</v>
      </c>
      <c r="L59" s="104"/>
    </row>
    <row r="60" customFormat="false" ht="15" hidden="false" customHeight="false" outlineLevel="0" collapsed="false">
      <c r="A60" s="13" t="n">
        <v>54</v>
      </c>
      <c r="B60" s="13" t="s">
        <v>1292</v>
      </c>
      <c r="C60" s="13" t="s">
        <v>1297</v>
      </c>
      <c r="D60" s="13" t="n">
        <v>2021</v>
      </c>
      <c r="E60" s="61" t="n">
        <v>0</v>
      </c>
      <c r="F60" s="50" t="n">
        <f aca="false">CF!D38</f>
        <v>0</v>
      </c>
      <c r="G60" s="102" t="n">
        <f aca="false">IF(COUNT(E60:F60)=2,E60-F60,"")</f>
        <v>0</v>
      </c>
      <c r="H60" s="103" t="n">
        <v>1</v>
      </c>
      <c r="I60" s="4" t="str">
        <f aca="false">IF(COUNT(E60:F60)&lt;2,"N/A",IF(ABS(G60)&lt;=H60,"OK","❌"))</f>
        <v>OK</v>
      </c>
      <c r="J60" s="103" t="s">
        <v>1269</v>
      </c>
      <c r="K60" s="4" t="str">
        <f aca="false">IF(I60=J60,"✔ sesuai","✖ TIDAK sesuai")</f>
        <v>✔ sesuai</v>
      </c>
      <c r="L60" s="104" t="s">
        <v>1298</v>
      </c>
    </row>
    <row r="61" customFormat="false" ht="15" hidden="false" customHeight="false" outlineLevel="0" collapsed="false">
      <c r="A61" s="13" t="n">
        <v>55</v>
      </c>
      <c r="B61" s="13" t="s">
        <v>1306</v>
      </c>
      <c r="C61" s="13" t="s">
        <v>1307</v>
      </c>
      <c r="D61" s="13" t="n">
        <v>2021</v>
      </c>
      <c r="E61" s="50" t="n">
        <f aca="false">CF!D41</f>
        <v>525479693804</v>
      </c>
      <c r="F61" s="50" t="n">
        <f aca="false">BS!C6</f>
        <v>525479693804</v>
      </c>
      <c r="G61" s="102" t="n">
        <f aca="false">IF(COUNT(E61:F61)=2,E61-F61,"")</f>
        <v>0</v>
      </c>
      <c r="H61" s="103" t="n">
        <v>1</v>
      </c>
      <c r="I61" s="4" t="str">
        <f aca="false">IF(COUNT(E61:F61)&lt;2,"N/A",IF(ABS(G61)&lt;=H61,"OK","❌"))</f>
        <v>OK</v>
      </c>
      <c r="J61" s="103" t="s">
        <v>1269</v>
      </c>
      <c r="K61" s="4" t="str">
        <f aca="false">IF(I61=J61,"✔ sesuai","✖ TIDAK sesuai")</f>
        <v>✔ sesuai</v>
      </c>
      <c r="L61" s="104"/>
    </row>
    <row r="62" customFormat="false" ht="15" hidden="false" customHeight="false" outlineLevel="0" collapsed="false">
      <c r="A62" s="13" t="n">
        <v>56</v>
      </c>
      <c r="B62" s="13" t="s">
        <v>1306</v>
      </c>
      <c r="C62" s="13" t="s">
        <v>1308</v>
      </c>
      <c r="D62" s="13" t="n">
        <v>2021</v>
      </c>
      <c r="E62" s="50" t="n">
        <f aca="false">BS!C44+7416307993+CF!D38+0</f>
        <v>-31033031403</v>
      </c>
      <c r="F62" s="50" t="n">
        <f aca="false">BS!D44</f>
        <v>-31033031403</v>
      </c>
      <c r="G62" s="102" t="n">
        <f aca="false">IF(COUNT(E62:F62)=2,E62-F62,"")</f>
        <v>0</v>
      </c>
      <c r="H62" s="103" t="n">
        <v>1</v>
      </c>
      <c r="I62" s="4" t="str">
        <f aca="false">IF(COUNT(E62:F62)&lt;2,"N/A",IF(ABS(G62)&lt;=H62,"OK","❌"))</f>
        <v>OK</v>
      </c>
      <c r="J62" s="103" t="s">
        <v>1269</v>
      </c>
      <c r="K62" s="4" t="str">
        <f aca="false">IF(I62=J62,"✔ sesuai","✖ TIDAK sesuai")</f>
        <v>✔ sesuai</v>
      </c>
      <c r="L62" s="104" t="s">
        <v>1309</v>
      </c>
    </row>
    <row r="63" customFormat="false" ht="15" hidden="false" customHeight="false" outlineLevel="0" collapsed="false">
      <c r="A63" s="13" t="n">
        <v>57</v>
      </c>
      <c r="B63" s="13" t="s">
        <v>1299</v>
      </c>
      <c r="C63" s="13" t="s">
        <v>1310</v>
      </c>
      <c r="D63" s="13" t="n">
        <v>2021</v>
      </c>
      <c r="E63" s="50" t="n">
        <f aca="false">Schedules!D10</f>
        <v>290934356126</v>
      </c>
      <c r="F63" s="50" t="n">
        <f aca="false">IS!D6</f>
        <v>290934356126</v>
      </c>
      <c r="G63" s="102" t="n">
        <f aca="false">IF(COUNT(E63:F63)=2,E63-F63,"")</f>
        <v>0</v>
      </c>
      <c r="H63" s="103" t="n">
        <v>1</v>
      </c>
      <c r="I63" s="4" t="str">
        <f aca="false">IF(COUNT(E63:F63)&lt;2,"N/A",IF(ABS(G63)&lt;=H63,"OK","❌"))</f>
        <v>OK</v>
      </c>
      <c r="J63" s="103" t="s">
        <v>1269</v>
      </c>
      <c r="K63" s="4" t="str">
        <f aca="false">IF(I63=J63,"✔ sesuai","✖ TIDAK sesuai")</f>
        <v>✔ sesuai</v>
      </c>
      <c r="L63" s="104"/>
    </row>
    <row r="64" customFormat="false" ht="15" hidden="false" customHeight="false" outlineLevel="0" collapsed="false">
      <c r="A64" s="13" t="n">
        <v>58</v>
      </c>
      <c r="B64" s="13" t="s">
        <v>1299</v>
      </c>
      <c r="C64" s="13" t="s">
        <v>1311</v>
      </c>
      <c r="D64" s="13" t="n">
        <v>2021</v>
      </c>
      <c r="E64" s="50" t="n">
        <f aca="false">Schedules!D62</f>
        <v>290934356126</v>
      </c>
      <c r="F64" s="50" t="n">
        <f aca="false">IS!D6</f>
        <v>290934356126</v>
      </c>
      <c r="G64" s="102" t="n">
        <f aca="false">IF(COUNT(E64:F64)=2,E64-F64,"")</f>
        <v>0</v>
      </c>
      <c r="H64" s="103" t="n">
        <v>1</v>
      </c>
      <c r="I64" s="4" t="str">
        <f aca="false">IF(COUNT(E64:F64)&lt;2,"N/A",IF(ABS(G64)&lt;=H64,"OK","❌"))</f>
        <v>OK</v>
      </c>
      <c r="J64" s="103" t="s">
        <v>1269</v>
      </c>
      <c r="K64" s="4" t="str">
        <f aca="false">IF(I64=J64,"✔ sesuai","✖ TIDAK sesuai")</f>
        <v>✔ sesuai</v>
      </c>
      <c r="L64" s="104"/>
    </row>
    <row r="65" customFormat="false" ht="15" hidden="false" customHeight="false" outlineLevel="0" collapsed="false">
      <c r="A65" s="13" t="n">
        <v>59</v>
      </c>
      <c r="B65" s="13" t="s">
        <v>1299</v>
      </c>
      <c r="C65" s="13" t="s">
        <v>1312</v>
      </c>
      <c r="D65" s="13" t="n">
        <v>2021</v>
      </c>
      <c r="E65" s="50" t="n">
        <f aca="false">Schedules!D76</f>
        <v>145000436678</v>
      </c>
      <c r="F65" s="50" t="n">
        <f aca="false">-IS!D7</f>
        <v>145000436678</v>
      </c>
      <c r="G65" s="102" t="n">
        <f aca="false">IF(COUNT(E65:F65)=2,E65-F65,"")</f>
        <v>0</v>
      </c>
      <c r="H65" s="103" t="n">
        <v>1</v>
      </c>
      <c r="I65" s="4" t="str">
        <f aca="false">IF(COUNT(E65:F65)&lt;2,"N/A",IF(ABS(G65)&lt;=H65,"OK","❌"))</f>
        <v>OK</v>
      </c>
      <c r="J65" s="103" t="s">
        <v>1269</v>
      </c>
      <c r="K65" s="4" t="str">
        <f aca="false">IF(I65=J65,"✔ sesuai","✖ TIDAK sesuai")</f>
        <v>✔ sesuai</v>
      </c>
      <c r="L65" s="104"/>
    </row>
    <row r="66" customFormat="false" ht="15" hidden="false" customHeight="false" outlineLevel="0" collapsed="false">
      <c r="A66" s="13" t="n">
        <v>60</v>
      </c>
      <c r="B66" s="13" t="s">
        <v>1299</v>
      </c>
      <c r="C66" s="13" t="s">
        <v>1313</v>
      </c>
      <c r="D66" s="13" t="n">
        <v>2021</v>
      </c>
      <c r="E66" s="50" t="n">
        <f aca="false">Schedules!D99</f>
        <v>131835962281</v>
      </c>
      <c r="F66" s="50" t="n">
        <f aca="false">-IS!D9</f>
        <v>131835962281</v>
      </c>
      <c r="G66" s="102" t="n">
        <f aca="false">IF(COUNT(E66:F66)=2,E66-F66,"")</f>
        <v>0</v>
      </c>
      <c r="H66" s="103" t="n">
        <v>1</v>
      </c>
      <c r="I66" s="4" t="str">
        <f aca="false">IF(COUNT(E66:F66)&lt;2,"N/A",IF(ABS(G66)&lt;=H66,"OK","❌"))</f>
        <v>OK</v>
      </c>
      <c r="J66" s="103" t="s">
        <v>1269</v>
      </c>
      <c r="K66" s="4" t="str">
        <f aca="false">IF(I66=J66,"✔ sesuai","✖ TIDAK sesuai")</f>
        <v>✔ sesuai</v>
      </c>
      <c r="L66" s="104"/>
    </row>
    <row r="67" customFormat="false" ht="15" hidden="false" customHeight="false" outlineLevel="0" collapsed="false">
      <c r="A67" s="13" t="n">
        <v>61</v>
      </c>
      <c r="B67" s="13" t="s">
        <v>1299</v>
      </c>
      <c r="C67" s="13" t="s">
        <v>1314</v>
      </c>
      <c r="D67" s="13" t="n">
        <v>2021</v>
      </c>
      <c r="E67" s="50" t="n">
        <f aca="false">Schedules!D108</f>
        <v>15781938577</v>
      </c>
      <c r="F67" s="50" t="n">
        <f aca="false">IS!D13</f>
        <v>15781938577</v>
      </c>
      <c r="G67" s="102" t="n">
        <f aca="false">IF(COUNT(E67:F67)=2,E67-F67,"")</f>
        <v>0</v>
      </c>
      <c r="H67" s="103" t="n">
        <v>1</v>
      </c>
      <c r="I67" s="4" t="str">
        <f aca="false">IF(COUNT(E67:F67)&lt;2,"N/A",IF(ABS(G67)&lt;=H67,"OK","❌"))</f>
        <v>OK</v>
      </c>
      <c r="J67" s="103" t="s">
        <v>1269</v>
      </c>
      <c r="K67" s="4" t="str">
        <f aca="false">IF(I67=J67,"✔ sesuai","✖ TIDAK sesuai")</f>
        <v>✔ sesuai</v>
      </c>
      <c r="L67" s="104"/>
    </row>
    <row r="68" customFormat="false" ht="15" hidden="false" customHeight="false" outlineLevel="0" collapsed="false">
      <c r="A68" s="13" t="n">
        <v>62</v>
      </c>
      <c r="B68" s="13" t="s">
        <v>1299</v>
      </c>
      <c r="C68" s="13" t="s">
        <v>1315</v>
      </c>
      <c r="D68" s="13" t="n">
        <v>2021</v>
      </c>
      <c r="E68" s="50" t="n">
        <f aca="false">Schedules!D117</f>
        <v>25838724542</v>
      </c>
      <c r="F68" s="50" t="n">
        <f aca="false">-IS!D14</f>
        <v>25838724542</v>
      </c>
      <c r="G68" s="102" t="n">
        <f aca="false">IF(COUNT(E68:F68)=2,E68-F68,"")</f>
        <v>0</v>
      </c>
      <c r="H68" s="103" t="n">
        <v>1</v>
      </c>
      <c r="I68" s="4" t="str">
        <f aca="false">IF(COUNT(E68:F68)&lt;2,"N/A",IF(ABS(G68)&lt;=H68,"OK","❌"))</f>
        <v>OK</v>
      </c>
      <c r="J68" s="103" t="s">
        <v>1269</v>
      </c>
      <c r="K68" s="4" t="str">
        <f aca="false">IF(I68=J68,"✔ sesuai","✖ TIDAK sesuai")</f>
        <v>✔ sesuai</v>
      </c>
      <c r="L68" s="104"/>
    </row>
    <row r="69" customFormat="false" ht="15" hidden="false" customHeight="false" outlineLevel="0" collapsed="false">
      <c r="A69" s="13" t="n">
        <v>63</v>
      </c>
      <c r="B69" s="13" t="s">
        <v>1299</v>
      </c>
      <c r="C69" s="13" t="s">
        <v>1316</v>
      </c>
      <c r="D69" s="13" t="n">
        <v>2021</v>
      </c>
      <c r="E69" s="50" t="n">
        <f aca="false">Schedules!D123</f>
        <v>2465367652</v>
      </c>
      <c r="F69" s="50" t="n">
        <f aca="false">IS!D11</f>
        <v>2465367652</v>
      </c>
      <c r="G69" s="102" t="n">
        <f aca="false">IF(COUNT(E69:F69)=2,E69-F69,"")</f>
        <v>0</v>
      </c>
      <c r="H69" s="103" t="n">
        <v>1</v>
      </c>
      <c r="I69" s="4" t="str">
        <f aca="false">IF(COUNT(E69:F69)&lt;2,"N/A",IF(ABS(G69)&lt;=H69,"OK","❌"))</f>
        <v>OK</v>
      </c>
      <c r="J69" s="103" t="s">
        <v>1269</v>
      </c>
      <c r="K69" s="4" t="str">
        <f aca="false">IF(I69=J69,"✔ sesuai","✖ TIDAK sesuai")</f>
        <v>✔ sesuai</v>
      </c>
      <c r="L69" s="104"/>
    </row>
    <row r="70" customFormat="false" ht="15" hidden="false" customHeight="false" outlineLevel="0" collapsed="false">
      <c r="A70" s="13" t="n">
        <v>64</v>
      </c>
      <c r="B70" s="13" t="s">
        <v>1299</v>
      </c>
      <c r="C70" s="13" t="s">
        <v>1317</v>
      </c>
      <c r="D70" s="13" t="n">
        <v>2021</v>
      </c>
      <c r="E70" s="50" t="n">
        <f aca="false">Schedules!D44</f>
        <v>2915791008035</v>
      </c>
      <c r="F70" s="50" t="n">
        <f aca="false">BS!D16</f>
        <v>2915791008035</v>
      </c>
      <c r="G70" s="102" t="n">
        <f aca="false">IF(COUNT(E70:F70)=2,E70-F70,"")</f>
        <v>0</v>
      </c>
      <c r="H70" s="103" t="n">
        <v>1</v>
      </c>
      <c r="I70" s="4" t="str">
        <f aca="false">IF(COUNT(E70:F70)&lt;2,"N/A",IF(ABS(G70)&lt;=H70,"OK","❌"))</f>
        <v>OK</v>
      </c>
      <c r="J70" s="103" t="s">
        <v>1269</v>
      </c>
      <c r="K70" s="4" t="str">
        <f aca="false">IF(I70=J70,"✔ sesuai","✖ TIDAK sesuai")</f>
        <v>✔ sesuai</v>
      </c>
      <c r="L70" s="104"/>
    </row>
    <row r="71" customFormat="false" ht="15" hidden="false" customHeight="false" outlineLevel="0" collapsed="false">
      <c r="A71" s="13" t="n">
        <v>65</v>
      </c>
      <c r="B71" s="13" t="s">
        <v>1318</v>
      </c>
      <c r="C71" s="13" t="s">
        <v>1319</v>
      </c>
      <c r="D71" s="13" t="n">
        <v>2021</v>
      </c>
      <c r="E71" s="50" t="n">
        <f aca="false">Schedules!D14</f>
        <v>17297314280</v>
      </c>
      <c r="F71" s="50" t="n">
        <f aca="false">Schedules!D15</f>
        <v>17297314280</v>
      </c>
      <c r="G71" s="102" t="n">
        <f aca="false">IF(COUNT(E71:F71)=2,E71-F71,"")</f>
        <v>0</v>
      </c>
      <c r="H71" s="103" t="n">
        <v>1</v>
      </c>
      <c r="I71" s="4" t="str">
        <f aca="false">IF(COUNT(E71:F71)&lt;2,"N/A",IF(ABS(G71)&lt;=H71,"OK","❌"))</f>
        <v>OK</v>
      </c>
      <c r="J71" s="103" t="s">
        <v>1269</v>
      </c>
      <c r="K71" s="4" t="str">
        <f aca="false">IF(I71=J71,"✔ sesuai","✖ TIDAK sesuai")</f>
        <v>✔ sesuai</v>
      </c>
      <c r="L71" s="104"/>
    </row>
    <row r="72" customFormat="false" ht="15" hidden="false" customHeight="false" outlineLevel="0" collapsed="false">
      <c r="A72" s="13" t="n">
        <v>66</v>
      </c>
      <c r="B72" s="13" t="s">
        <v>1318</v>
      </c>
      <c r="C72" s="13" t="s">
        <v>1320</v>
      </c>
      <c r="D72" s="13" t="n">
        <v>2021</v>
      </c>
      <c r="E72" s="50" t="n">
        <f aca="false">Schedules!D35</f>
        <v>3037021081863</v>
      </c>
      <c r="F72" s="50" t="n">
        <f aca="false">Schedules!D34</f>
        <v>3037021081863</v>
      </c>
      <c r="G72" s="102" t="n">
        <f aca="false">IF(COUNT(E72:F72)=2,E72-F72,"")</f>
        <v>0</v>
      </c>
      <c r="H72" s="103" t="n">
        <v>1</v>
      </c>
      <c r="I72" s="4" t="str">
        <f aca="false">IF(COUNT(E72:F72)&lt;2,"N/A",IF(ABS(G72)&lt;=H72,"OK","❌"))</f>
        <v>OK</v>
      </c>
      <c r="J72" s="103" t="s">
        <v>1269</v>
      </c>
      <c r="K72" s="4" t="str">
        <f aca="false">IF(I72=J72,"✔ sesuai","✖ TIDAK sesuai")</f>
        <v>✔ sesuai</v>
      </c>
      <c r="L72" s="104"/>
    </row>
    <row r="73" customFormat="false" ht="15" hidden="false" customHeight="false" outlineLevel="0" collapsed="false">
      <c r="A73" s="13" t="n">
        <v>67</v>
      </c>
      <c r="B73" s="13" t="s">
        <v>1318</v>
      </c>
      <c r="C73" s="13" t="s">
        <v>1321</v>
      </c>
      <c r="D73" s="13" t="n">
        <v>2021</v>
      </c>
      <c r="E73" s="50" t="n">
        <f aca="false">Schedules!D43</f>
        <v>121230073828</v>
      </c>
      <c r="F73" s="50" t="n">
        <f aca="false">Schedules!D42</f>
        <v>121230073828</v>
      </c>
      <c r="G73" s="102" t="n">
        <f aca="false">IF(COUNT(E73:F73)=2,E73-F73,"")</f>
        <v>0</v>
      </c>
      <c r="H73" s="103" t="n">
        <v>1</v>
      </c>
      <c r="I73" s="4" t="str">
        <f aca="false">IF(COUNT(E73:F73)&lt;2,"N/A",IF(ABS(G73)&lt;=H73,"OK","❌"))</f>
        <v>OK</v>
      </c>
      <c r="J73" s="103" t="s">
        <v>1269</v>
      </c>
      <c r="K73" s="4" t="str">
        <f aca="false">IF(I73=J73,"✔ sesuai","✖ TIDAK sesuai")</f>
        <v>✔ sesuai</v>
      </c>
      <c r="L73" s="104"/>
    </row>
    <row r="74" customFormat="false" ht="15" hidden="false" customHeight="false" outlineLevel="0" collapsed="false">
      <c r="A74" s="13" t="n">
        <v>68</v>
      </c>
      <c r="B74" s="13" t="s">
        <v>1318</v>
      </c>
      <c r="C74" s="13" t="s">
        <v>1322</v>
      </c>
      <c r="D74" s="13" t="n">
        <v>2021</v>
      </c>
      <c r="E74" s="50" t="n">
        <f aca="false">Schedules!D65</f>
        <v>290934356126</v>
      </c>
      <c r="F74" s="50" t="n">
        <f aca="false">Schedules!D62</f>
        <v>290934356126</v>
      </c>
      <c r="G74" s="102" t="n">
        <f aca="false">IF(COUNT(E74:F74)=2,E74-F74,"")</f>
        <v>0</v>
      </c>
      <c r="H74" s="103" t="n">
        <v>1</v>
      </c>
      <c r="I74" s="4" t="str">
        <f aca="false">IF(COUNT(E74:F74)&lt;2,"N/A",IF(ABS(G74)&lt;=H74,"OK","❌"))</f>
        <v>OK</v>
      </c>
      <c r="J74" s="103" t="s">
        <v>1269</v>
      </c>
      <c r="K74" s="4" t="str">
        <f aca="false">IF(I74=J74,"✔ sesuai","✖ TIDAK sesuai")</f>
        <v>✔ sesuai</v>
      </c>
      <c r="L74" s="104"/>
    </row>
    <row r="75" customFormat="false" ht="15" hidden="false" customHeight="false" outlineLevel="0" collapsed="false">
      <c r="A75" s="13" t="n">
        <v>69</v>
      </c>
      <c r="B75" s="13" t="s">
        <v>1318</v>
      </c>
      <c r="C75" s="13" t="s">
        <v>1323</v>
      </c>
      <c r="D75" s="13" t="n">
        <v>2021</v>
      </c>
      <c r="E75" s="50" t="n">
        <f aca="false">Schedules!D80</f>
        <v>145000436678</v>
      </c>
      <c r="F75" s="50" t="n">
        <f aca="false">Schedules!D76</f>
        <v>145000436678</v>
      </c>
      <c r="G75" s="102" t="n">
        <f aca="false">IF(COUNT(E75:F75)=2,E75-F75,"")</f>
        <v>0</v>
      </c>
      <c r="H75" s="103" t="n">
        <v>1</v>
      </c>
      <c r="I75" s="4" t="str">
        <f aca="false">IF(COUNT(E75:F75)&lt;2,"N/A",IF(ABS(G75)&lt;=H75,"OK","❌"))</f>
        <v>OK</v>
      </c>
      <c r="J75" s="103" t="s">
        <v>1269</v>
      </c>
      <c r="K75" s="4" t="str">
        <f aca="false">IF(I75=J75,"✔ sesuai","✖ TIDAK sesuai")</f>
        <v>✔ sesuai</v>
      </c>
      <c r="L75" s="104"/>
    </row>
    <row r="76" customFormat="false" ht="15" hidden="false" customHeight="false" outlineLevel="0" collapsed="false">
      <c r="A76" s="13" t="n">
        <v>70</v>
      </c>
      <c r="B76" s="13" t="s">
        <v>1318</v>
      </c>
      <c r="C76" s="13" t="s">
        <v>1324</v>
      </c>
      <c r="D76" s="13" t="n">
        <v>2021</v>
      </c>
      <c r="E76" s="50" t="n">
        <f aca="false">Schedules!D103</f>
        <v>131835962281</v>
      </c>
      <c r="F76" s="50" t="n">
        <f aca="false">Schedules!D99</f>
        <v>131835962281</v>
      </c>
      <c r="G76" s="102" t="n">
        <f aca="false">IF(COUNT(E76:F76)=2,E76-F76,"")</f>
        <v>0</v>
      </c>
      <c r="H76" s="103" t="n">
        <v>1</v>
      </c>
      <c r="I76" s="4" t="str">
        <f aca="false">IF(COUNT(E76:F76)&lt;2,"N/A",IF(ABS(G76)&lt;=H76,"OK","❌"))</f>
        <v>OK</v>
      </c>
      <c r="J76" s="103" t="s">
        <v>1269</v>
      </c>
      <c r="K76" s="4" t="str">
        <f aca="false">IF(I76=J76,"✔ sesuai","✖ TIDAK sesuai")</f>
        <v>✔ sesuai</v>
      </c>
      <c r="L76" s="104"/>
    </row>
    <row r="77" customFormat="false" ht="15" hidden="false" customHeight="false" outlineLevel="0" collapsed="false">
      <c r="A77" s="13" t="n">
        <v>71</v>
      </c>
      <c r="B77" s="13" t="s">
        <v>1318</v>
      </c>
      <c r="C77" s="13" t="s">
        <v>1325</v>
      </c>
      <c r="D77" s="13" t="n">
        <v>2021</v>
      </c>
      <c r="E77" s="50" t="n">
        <f aca="false">Schedules!D110</f>
        <v>15781938577</v>
      </c>
      <c r="F77" s="50" t="n">
        <f aca="false">Schedules!D108</f>
        <v>15781938577</v>
      </c>
      <c r="G77" s="102" t="n">
        <f aca="false">IF(COUNT(E77:F77)=2,E77-F77,"")</f>
        <v>0</v>
      </c>
      <c r="H77" s="103" t="n">
        <v>1</v>
      </c>
      <c r="I77" s="4" t="str">
        <f aca="false">IF(COUNT(E77:F77)&lt;2,"N/A",IF(ABS(G77)&lt;=H77,"OK","❌"))</f>
        <v>OK</v>
      </c>
      <c r="J77" s="103" t="s">
        <v>1269</v>
      </c>
      <c r="K77" s="4" t="str">
        <f aca="false">IF(I77=J77,"✔ sesuai","✖ TIDAK sesuai")</f>
        <v>✔ sesuai</v>
      </c>
      <c r="L77" s="104"/>
    </row>
    <row r="78" customFormat="false" ht="15" hidden="false" customHeight="false" outlineLevel="0" collapsed="false">
      <c r="A78" s="13" t="n">
        <v>72</v>
      </c>
      <c r="B78" s="13" t="s">
        <v>1318</v>
      </c>
      <c r="C78" s="13" t="s">
        <v>1326</v>
      </c>
      <c r="D78" s="13" t="n">
        <v>2021</v>
      </c>
      <c r="E78" s="50" t="n">
        <f aca="false">Schedules!D118</f>
        <v>25838724542</v>
      </c>
      <c r="F78" s="50" t="n">
        <f aca="false">Schedules!D117</f>
        <v>25838724542</v>
      </c>
      <c r="G78" s="102" t="n">
        <f aca="false">IF(COUNT(E78:F78)=2,E78-F78,"")</f>
        <v>0</v>
      </c>
      <c r="H78" s="103" t="n">
        <v>1</v>
      </c>
      <c r="I78" s="4" t="str">
        <f aca="false">IF(COUNT(E78:F78)&lt;2,"N/A",IF(ABS(G78)&lt;=H78,"OK","❌"))</f>
        <v>OK</v>
      </c>
      <c r="J78" s="103" t="s">
        <v>1269</v>
      </c>
      <c r="K78" s="4" t="str">
        <f aca="false">IF(I78=J78,"✔ sesuai","✖ TIDAK sesuai")</f>
        <v>✔ sesuai</v>
      </c>
      <c r="L78" s="104"/>
    </row>
    <row r="79" customFormat="false" ht="15" hidden="false" customHeight="false" outlineLevel="0" collapsed="false">
      <c r="A79" s="13" t="n">
        <v>73</v>
      </c>
      <c r="B79" s="13" t="s">
        <v>1318</v>
      </c>
      <c r="C79" s="13" t="s">
        <v>1327</v>
      </c>
      <c r="D79" s="13" t="n">
        <v>2021</v>
      </c>
      <c r="E79" s="50" t="n">
        <f aca="false">Schedules!D130</f>
        <v>2465367652</v>
      </c>
      <c r="F79" s="50" t="n">
        <f aca="false">Schedules!D123</f>
        <v>2465367652</v>
      </c>
      <c r="G79" s="102" t="n">
        <f aca="false">IF(COUNT(E79:F79)=2,E79-F79,"")</f>
        <v>0</v>
      </c>
      <c r="H79" s="103" t="n">
        <v>1</v>
      </c>
      <c r="I79" s="4" t="str">
        <f aca="false">IF(COUNT(E79:F79)&lt;2,"N/A",IF(ABS(G79)&lt;=H79,"OK","❌"))</f>
        <v>OK</v>
      </c>
      <c r="J79" s="103" t="s">
        <v>1269</v>
      </c>
      <c r="K79" s="4" t="str">
        <f aca="false">IF(I79=J79,"✔ sesuai","✖ TIDAK sesuai")</f>
        <v>✔ sesuai</v>
      </c>
      <c r="L79" s="104"/>
    </row>
    <row r="80" customFormat="false" ht="15" hidden="false" customHeight="false" outlineLevel="0" collapsed="false">
      <c r="A80" s="13" t="n">
        <v>74</v>
      </c>
      <c r="B80" s="13" t="s">
        <v>1302</v>
      </c>
      <c r="C80" s="13" t="s">
        <v>1328</v>
      </c>
      <c r="D80" s="13" t="n">
        <v>2021</v>
      </c>
      <c r="E80" s="50" t="n">
        <f aca="false">IS!D28</f>
        <v>0.18</v>
      </c>
      <c r="F80" s="50" t="n">
        <f aca="false">ROUND(IS!D24/Schedules!D20,2)</f>
        <v>0.18</v>
      </c>
      <c r="G80" s="102" t="n">
        <f aca="false">IF(COUNT(E80:F80)=2,E80-F80,"")</f>
        <v>0</v>
      </c>
      <c r="H80" s="103" t="n">
        <v>1</v>
      </c>
      <c r="I80" s="4" t="str">
        <f aca="false">IF(COUNT(E80:F80)&lt;2,"N/A",IF(ABS(G80)&lt;=H80,"OK","❌"))</f>
        <v>OK</v>
      </c>
      <c r="J80" s="103" t="s">
        <v>1269</v>
      </c>
      <c r="K80" s="4" t="str">
        <f aca="false">IF(I80=J80,"✔ sesuai","✖ TIDAK sesuai")</f>
        <v>✔ sesuai</v>
      </c>
      <c r="L80" s="104"/>
    </row>
    <row r="81" customFormat="false" ht="15" hidden="false" customHeight="false" outlineLevel="0" collapsed="false">
      <c r="A81" s="13" t="n">
        <v>75</v>
      </c>
      <c r="B81" s="13" t="s">
        <v>1267</v>
      </c>
      <c r="C81" s="13" t="s">
        <v>1268</v>
      </c>
      <c r="D81" s="13" t="n">
        <v>2022</v>
      </c>
      <c r="E81" s="50" t="n">
        <f aca="false">IS!E8</f>
        <v>96232265566</v>
      </c>
      <c r="F81" s="50" t="n">
        <f aca="false">IS!E34</f>
        <v>96232265566</v>
      </c>
      <c r="G81" s="102" t="n">
        <f aca="false">IF(COUNT(E81:F81)=2,E81-F81,"")</f>
        <v>0</v>
      </c>
      <c r="H81" s="103" t="n">
        <v>1</v>
      </c>
      <c r="I81" s="4" t="str">
        <f aca="false">IF(COUNT(E81:F81)&lt;2,"N/A",IF(ABS(G81)&lt;=H81,"OK","❌"))</f>
        <v>OK</v>
      </c>
      <c r="J81" s="103" t="s">
        <v>1269</v>
      </c>
      <c r="K81" s="4" t="str">
        <f aca="false">IF(I81=J81,"✔ sesuai","✖ TIDAK sesuai")</f>
        <v>✔ sesuai</v>
      </c>
      <c r="L81" s="104"/>
    </row>
    <row r="82" customFormat="false" ht="15" hidden="false" customHeight="false" outlineLevel="0" collapsed="false">
      <c r="A82" s="13" t="n">
        <v>76</v>
      </c>
      <c r="B82" s="13" t="s">
        <v>1267</v>
      </c>
      <c r="C82" s="13" t="s">
        <v>1270</v>
      </c>
      <c r="D82" s="13" t="n">
        <v>2022</v>
      </c>
      <c r="E82" s="50" t="n">
        <f aca="false">IS!E10</f>
        <v>-60591381867</v>
      </c>
      <c r="F82" s="50" t="n">
        <f aca="false">IS!E35</f>
        <v>-60591381867</v>
      </c>
      <c r="G82" s="102" t="n">
        <f aca="false">IF(COUNT(E82:F82)=2,E82-F82,"")</f>
        <v>0</v>
      </c>
      <c r="H82" s="103" t="n">
        <v>1</v>
      </c>
      <c r="I82" s="4" t="str">
        <f aca="false">IF(COUNT(E82:F82)&lt;2,"N/A",IF(ABS(G82)&lt;=H82,"OK","❌"))</f>
        <v>OK</v>
      </c>
      <c r="J82" s="103" t="s">
        <v>1269</v>
      </c>
      <c r="K82" s="4" t="str">
        <f aca="false">IF(I82=J82,"✔ sesuai","✖ TIDAK sesuai")</f>
        <v>✔ sesuai</v>
      </c>
      <c r="L82" s="104"/>
    </row>
    <row r="83" customFormat="false" ht="15" hidden="false" customHeight="false" outlineLevel="0" collapsed="false">
      <c r="A83" s="13" t="n">
        <v>77</v>
      </c>
      <c r="B83" s="13" t="s">
        <v>1267</v>
      </c>
      <c r="C83" s="13" t="s">
        <v>1271</v>
      </c>
      <c r="D83" s="13" t="n">
        <v>2022</v>
      </c>
      <c r="E83" s="50" t="n">
        <f aca="false">IS!E15</f>
        <v>-93315958920</v>
      </c>
      <c r="F83" s="50" t="n">
        <f aca="false">IS!E36</f>
        <v>-93315958920</v>
      </c>
      <c r="G83" s="102" t="n">
        <f aca="false">IF(COUNT(E83:F83)=2,E83-F83,"")</f>
        <v>0</v>
      </c>
      <c r="H83" s="103" t="n">
        <v>1</v>
      </c>
      <c r="I83" s="4" t="str">
        <f aca="false">IF(COUNT(E83:F83)&lt;2,"N/A",IF(ABS(G83)&lt;=H83,"OK","❌"))</f>
        <v>OK</v>
      </c>
      <c r="J83" s="103" t="s">
        <v>1269</v>
      </c>
      <c r="K83" s="4" t="str">
        <f aca="false">IF(I83=J83,"✔ sesuai","✖ TIDAK sesuai")</f>
        <v>✔ sesuai</v>
      </c>
      <c r="L83" s="104"/>
    </row>
    <row r="84" customFormat="false" ht="15" hidden="false" customHeight="false" outlineLevel="0" collapsed="false">
      <c r="A84" s="13" t="n">
        <v>78</v>
      </c>
      <c r="B84" s="13" t="s">
        <v>1267</v>
      </c>
      <c r="C84" s="13" t="s">
        <v>1272</v>
      </c>
      <c r="D84" s="13" t="n">
        <v>2022</v>
      </c>
      <c r="E84" s="50" t="n">
        <f aca="false">IS!E17</f>
        <v>-93604422306</v>
      </c>
      <c r="F84" s="50" t="n">
        <f aca="false">IS!E37</f>
        <v>-93604422306</v>
      </c>
      <c r="G84" s="102" t="n">
        <f aca="false">IF(COUNT(E84:F84)=2,E84-F84,"")</f>
        <v>0</v>
      </c>
      <c r="H84" s="103" t="n">
        <v>1</v>
      </c>
      <c r="I84" s="4" t="str">
        <f aca="false">IF(COUNT(E84:F84)&lt;2,"N/A",IF(ABS(G84)&lt;=H84,"OK","❌"))</f>
        <v>OK</v>
      </c>
      <c r="J84" s="103" t="s">
        <v>1269</v>
      </c>
      <c r="K84" s="4" t="str">
        <f aca="false">IF(I84=J84,"✔ sesuai","✖ TIDAK sesuai")</f>
        <v>✔ sesuai</v>
      </c>
      <c r="L84" s="104"/>
    </row>
    <row r="85" customFormat="false" ht="15" hidden="false" customHeight="false" outlineLevel="0" collapsed="false">
      <c r="A85" s="13" t="n">
        <v>79</v>
      </c>
      <c r="B85" s="13" t="s">
        <v>1267</v>
      </c>
      <c r="C85" s="13" t="s">
        <v>1273</v>
      </c>
      <c r="D85" s="13" t="n">
        <v>2022</v>
      </c>
      <c r="E85" s="50" t="n">
        <f aca="false">IS!E21</f>
        <v>2228380991</v>
      </c>
      <c r="F85" s="50" t="n">
        <f aca="false">IS!E38</f>
        <v>2228380991</v>
      </c>
      <c r="G85" s="102" t="n">
        <f aca="false">IF(COUNT(E85:F85)=2,E85-F85,"")</f>
        <v>0</v>
      </c>
      <c r="H85" s="103" t="n">
        <v>1</v>
      </c>
      <c r="I85" s="4" t="str">
        <f aca="false">IF(COUNT(E85:F85)&lt;2,"N/A",IF(ABS(G85)&lt;=H85,"OK","❌"))</f>
        <v>OK</v>
      </c>
      <c r="J85" s="103" t="s">
        <v>1269</v>
      </c>
      <c r="K85" s="4" t="str">
        <f aca="false">IF(I85=J85,"✔ sesuai","✖ TIDAK sesuai")</f>
        <v>✔ sesuai</v>
      </c>
      <c r="L85" s="104"/>
    </row>
    <row r="86" customFormat="false" ht="15" hidden="false" customHeight="false" outlineLevel="0" collapsed="false">
      <c r="A86" s="13" t="n">
        <v>80</v>
      </c>
      <c r="B86" s="13" t="s">
        <v>1267</v>
      </c>
      <c r="C86" s="13" t="s">
        <v>1274</v>
      </c>
      <c r="D86" s="13" t="n">
        <v>2022</v>
      </c>
      <c r="E86" s="50" t="n">
        <f aca="false">IS!E22</f>
        <v>-91376041315</v>
      </c>
      <c r="F86" s="50" t="n">
        <f aca="false">IS!E39</f>
        <v>-91376041315</v>
      </c>
      <c r="G86" s="102" t="n">
        <f aca="false">IF(COUNT(E86:F86)=2,E86-F86,"")</f>
        <v>0</v>
      </c>
      <c r="H86" s="103" t="n">
        <v>1</v>
      </c>
      <c r="I86" s="4" t="str">
        <f aca="false">IF(COUNT(E86:F86)&lt;2,"N/A",IF(ABS(G86)&lt;=H86,"OK","❌"))</f>
        <v>OK</v>
      </c>
      <c r="J86" s="103" t="s">
        <v>1269</v>
      </c>
      <c r="K86" s="4" t="str">
        <f aca="false">IF(I86=J86,"✔ sesuai","✖ TIDAK sesuai")</f>
        <v>✔ sesuai</v>
      </c>
      <c r="L86" s="104"/>
    </row>
    <row r="87" customFormat="false" ht="15" hidden="false" customHeight="false" outlineLevel="0" collapsed="false">
      <c r="A87" s="13" t="n">
        <v>81</v>
      </c>
      <c r="B87" s="13" t="s">
        <v>1267</v>
      </c>
      <c r="C87" s="13" t="s">
        <v>1275</v>
      </c>
      <c r="D87" s="13" t="n">
        <v>2022</v>
      </c>
      <c r="E87" s="50" t="n">
        <f aca="false">BS!E15</f>
        <v>881622483502</v>
      </c>
      <c r="F87" s="50" t="n">
        <f aca="false">BS!E50</f>
        <v>881622483502</v>
      </c>
      <c r="G87" s="102" t="n">
        <f aca="false">IF(COUNT(E87:F87)=2,E87-F87,"")</f>
        <v>0</v>
      </c>
      <c r="H87" s="103" t="n">
        <v>1</v>
      </c>
      <c r="I87" s="4" t="str">
        <f aca="false">IF(COUNT(E87:F87)&lt;2,"N/A",IF(ABS(G87)&lt;=H87,"OK","❌"))</f>
        <v>OK</v>
      </c>
      <c r="J87" s="103" t="s">
        <v>1269</v>
      </c>
      <c r="K87" s="4" t="str">
        <f aca="false">IF(I87=J87,"✔ sesuai","✖ TIDAK sesuai")</f>
        <v>✔ sesuai</v>
      </c>
      <c r="L87" s="104"/>
    </row>
    <row r="88" customFormat="false" ht="15" hidden="false" customHeight="false" outlineLevel="0" collapsed="false">
      <c r="A88" s="13" t="n">
        <v>82</v>
      </c>
      <c r="B88" s="13" t="s">
        <v>1267</v>
      </c>
      <c r="C88" s="13" t="s">
        <v>1276</v>
      </c>
      <c r="D88" s="13" t="n">
        <v>2022</v>
      </c>
      <c r="E88" s="50" t="n">
        <f aca="false">BS!E20</f>
        <v>3352998648910</v>
      </c>
      <c r="F88" s="50" t="n">
        <f aca="false">BS!E51</f>
        <v>3352998648910</v>
      </c>
      <c r="G88" s="102" t="n">
        <f aca="false">IF(COUNT(E88:F88)=2,E88-F88,"")</f>
        <v>0</v>
      </c>
      <c r="H88" s="103" t="n">
        <v>1</v>
      </c>
      <c r="I88" s="4" t="str">
        <f aca="false">IF(COUNT(E88:F88)&lt;2,"N/A",IF(ABS(G88)&lt;=H88,"OK","❌"))</f>
        <v>OK</v>
      </c>
      <c r="J88" s="103" t="s">
        <v>1269</v>
      </c>
      <c r="K88" s="4" t="str">
        <f aca="false">IF(I88=J88,"✔ sesuai","✖ TIDAK sesuai")</f>
        <v>✔ sesuai</v>
      </c>
      <c r="L88" s="104"/>
    </row>
    <row r="89" customFormat="false" ht="15" hidden="false" customHeight="false" outlineLevel="0" collapsed="false">
      <c r="A89" s="13" t="n">
        <v>83</v>
      </c>
      <c r="B89" s="13" t="s">
        <v>1267</v>
      </c>
      <c r="C89" s="13" t="s">
        <v>1277</v>
      </c>
      <c r="D89" s="13" t="n">
        <v>2022</v>
      </c>
      <c r="E89" s="50" t="n">
        <f aca="false">BS!E21</f>
        <v>4234621132412</v>
      </c>
      <c r="F89" s="50" t="n">
        <f aca="false">BS!E52</f>
        <v>4234621132412</v>
      </c>
      <c r="G89" s="102" t="n">
        <f aca="false">IF(COUNT(E89:F89)=2,E89-F89,"")</f>
        <v>0</v>
      </c>
      <c r="H89" s="103" t="n">
        <v>1</v>
      </c>
      <c r="I89" s="4" t="str">
        <f aca="false">IF(COUNT(E89:F89)&lt;2,"N/A",IF(ABS(G89)&lt;=H89,"OK","❌"))</f>
        <v>OK</v>
      </c>
      <c r="J89" s="103" t="s">
        <v>1269</v>
      </c>
      <c r="K89" s="4" t="str">
        <f aca="false">IF(I89=J89,"✔ sesuai","✖ TIDAK sesuai")</f>
        <v>✔ sesuai</v>
      </c>
      <c r="L89" s="104"/>
    </row>
    <row r="90" customFormat="false" ht="15" hidden="false" customHeight="false" outlineLevel="0" collapsed="false">
      <c r="A90" s="13" t="n">
        <v>84</v>
      </c>
      <c r="B90" s="13" t="s">
        <v>1267</v>
      </c>
      <c r="C90" s="13" t="s">
        <v>1278</v>
      </c>
      <c r="D90" s="13" t="n">
        <v>2022</v>
      </c>
      <c r="E90" s="50" t="n">
        <f aca="false">BS!E33</f>
        <v>213002320748</v>
      </c>
      <c r="F90" s="50" t="n">
        <f aca="false">BS!E53</f>
        <v>213002320748</v>
      </c>
      <c r="G90" s="102" t="n">
        <f aca="false">IF(COUNT(E90:F90)=2,E90-F90,"")</f>
        <v>0</v>
      </c>
      <c r="H90" s="103" t="n">
        <v>1</v>
      </c>
      <c r="I90" s="4" t="str">
        <f aca="false">IF(COUNT(E90:F90)&lt;2,"N/A",IF(ABS(G90)&lt;=H90,"OK","❌"))</f>
        <v>OK</v>
      </c>
      <c r="J90" s="103" t="s">
        <v>1269</v>
      </c>
      <c r="K90" s="4" t="str">
        <f aca="false">IF(I90=J90,"✔ sesuai","✖ TIDAK sesuai")</f>
        <v>✔ sesuai</v>
      </c>
      <c r="L90" s="104"/>
    </row>
    <row r="91" customFormat="false" ht="15" hidden="false" customHeight="false" outlineLevel="0" collapsed="false">
      <c r="A91" s="13" t="n">
        <v>85</v>
      </c>
      <c r="B91" s="13" t="s">
        <v>1267</v>
      </c>
      <c r="C91" s="13" t="s">
        <v>1279</v>
      </c>
      <c r="D91" s="13" t="n">
        <v>2022</v>
      </c>
      <c r="E91" s="50" t="n">
        <f aca="false">BS!E39</f>
        <v>814727009142</v>
      </c>
      <c r="F91" s="50" t="n">
        <f aca="false">BS!E54</f>
        <v>814727009142</v>
      </c>
      <c r="G91" s="102" t="n">
        <f aca="false">IF(COUNT(E91:F91)=2,E91-F91,"")</f>
        <v>0</v>
      </c>
      <c r="H91" s="103" t="n">
        <v>1</v>
      </c>
      <c r="I91" s="4" t="str">
        <f aca="false">IF(COUNT(E91:F91)&lt;2,"N/A",IF(ABS(G91)&lt;=H91,"OK","❌"))</f>
        <v>OK</v>
      </c>
      <c r="J91" s="103" t="s">
        <v>1269</v>
      </c>
      <c r="K91" s="4" t="str">
        <f aca="false">IF(I91=J91,"✔ sesuai","✖ TIDAK sesuai")</f>
        <v>✔ sesuai</v>
      </c>
      <c r="L91" s="104"/>
    </row>
    <row r="92" customFormat="false" ht="15" hidden="false" customHeight="false" outlineLevel="0" collapsed="false">
      <c r="A92" s="13" t="n">
        <v>86</v>
      </c>
      <c r="B92" s="13" t="s">
        <v>1267</v>
      </c>
      <c r="C92" s="13" t="s">
        <v>1280</v>
      </c>
      <c r="D92" s="13" t="n">
        <v>2022</v>
      </c>
      <c r="E92" s="50" t="n">
        <f aca="false">BS!E40</f>
        <v>1027729329890</v>
      </c>
      <c r="F92" s="50" t="n">
        <f aca="false">BS!E55</f>
        <v>1027729329890</v>
      </c>
      <c r="G92" s="102" t="n">
        <f aca="false">IF(COUNT(E92:F92)=2,E92-F92,"")</f>
        <v>0</v>
      </c>
      <c r="H92" s="103" t="n">
        <v>1</v>
      </c>
      <c r="I92" s="4" t="str">
        <f aca="false">IF(COUNT(E92:F92)&lt;2,"N/A",IF(ABS(G92)&lt;=H92,"OK","❌"))</f>
        <v>OK</v>
      </c>
      <c r="J92" s="103" t="s">
        <v>1269</v>
      </c>
      <c r="K92" s="4" t="str">
        <f aca="false">IF(I92=J92,"✔ sesuai","✖ TIDAK sesuai")</f>
        <v>✔ sesuai</v>
      </c>
      <c r="L92" s="104"/>
    </row>
    <row r="93" customFormat="false" ht="15" hidden="false" customHeight="false" outlineLevel="0" collapsed="false">
      <c r="A93" s="13" t="n">
        <v>87</v>
      </c>
      <c r="B93" s="13" t="s">
        <v>1267</v>
      </c>
      <c r="C93" s="13" t="s">
        <v>1281</v>
      </c>
      <c r="D93" s="13" t="n">
        <v>2022</v>
      </c>
      <c r="E93" s="50" t="n">
        <f aca="false">BS!E45</f>
        <v>3205908066461</v>
      </c>
      <c r="F93" s="50" t="n">
        <f aca="false">BS!E56</f>
        <v>3205908066461</v>
      </c>
      <c r="G93" s="102" t="n">
        <f aca="false">IF(COUNT(E93:F93)=2,E93-F93,"")</f>
        <v>0</v>
      </c>
      <c r="H93" s="103" t="n">
        <v>1</v>
      </c>
      <c r="I93" s="4" t="str">
        <f aca="false">IF(COUNT(E93:F93)&lt;2,"N/A",IF(ABS(G93)&lt;=H93,"OK","❌"))</f>
        <v>OK</v>
      </c>
      <c r="J93" s="103" t="s">
        <v>1269</v>
      </c>
      <c r="K93" s="4" t="str">
        <f aca="false">IF(I93=J93,"✔ sesuai","✖ TIDAK sesuai")</f>
        <v>✔ sesuai</v>
      </c>
      <c r="L93" s="104"/>
    </row>
    <row r="94" customFormat="false" ht="15" hidden="false" customHeight="false" outlineLevel="0" collapsed="false">
      <c r="A94" s="13" t="n">
        <v>88</v>
      </c>
      <c r="B94" s="13" t="s">
        <v>1267</v>
      </c>
      <c r="C94" s="13" t="s">
        <v>1282</v>
      </c>
      <c r="D94" s="13" t="n">
        <v>2022</v>
      </c>
      <c r="E94" s="50" t="n">
        <f aca="false">BS!E47</f>
        <v>3206891802522</v>
      </c>
      <c r="F94" s="50" t="n">
        <f aca="false">BS!E57</f>
        <v>3206891802522</v>
      </c>
      <c r="G94" s="102" t="n">
        <f aca="false">IF(COUNT(E94:F94)=2,E94-F94,"")</f>
        <v>0</v>
      </c>
      <c r="H94" s="103" t="n">
        <v>1</v>
      </c>
      <c r="I94" s="4" t="str">
        <f aca="false">IF(COUNT(E94:F94)&lt;2,"N/A",IF(ABS(G94)&lt;=H94,"OK","❌"))</f>
        <v>OK</v>
      </c>
      <c r="J94" s="103" t="s">
        <v>1269</v>
      </c>
      <c r="K94" s="4" t="str">
        <f aca="false">IF(I94=J94,"✔ sesuai","✖ TIDAK sesuai")</f>
        <v>✔ sesuai</v>
      </c>
      <c r="L94" s="104"/>
    </row>
    <row r="95" customFormat="false" ht="15" hidden="false" customHeight="false" outlineLevel="0" collapsed="false">
      <c r="A95" s="13" t="n">
        <v>89</v>
      </c>
      <c r="B95" s="13" t="s">
        <v>1267</v>
      </c>
      <c r="C95" s="13" t="s">
        <v>1283</v>
      </c>
      <c r="D95" s="13" t="n">
        <v>2022</v>
      </c>
      <c r="E95" s="50" t="n">
        <f aca="false">BS!E48</f>
        <v>4234621132412</v>
      </c>
      <c r="F95" s="50" t="n">
        <f aca="false">BS!E58</f>
        <v>4234621132412</v>
      </c>
      <c r="G95" s="102" t="n">
        <f aca="false">IF(COUNT(E95:F95)=2,E95-F95,"")</f>
        <v>0</v>
      </c>
      <c r="H95" s="103" t="n">
        <v>1</v>
      </c>
      <c r="I95" s="4" t="str">
        <f aca="false">IF(COUNT(E95:F95)&lt;2,"N/A",IF(ABS(G95)&lt;=H95,"OK","❌"))</f>
        <v>OK</v>
      </c>
      <c r="J95" s="103" t="s">
        <v>1269</v>
      </c>
      <c r="K95" s="4" t="str">
        <f aca="false">IF(I95=J95,"✔ sesuai","✖ TIDAK sesuai")</f>
        <v>✔ sesuai</v>
      </c>
      <c r="L95" s="104"/>
    </row>
    <row r="96" customFormat="false" ht="15" hidden="false" customHeight="false" outlineLevel="0" collapsed="false">
      <c r="A96" s="13" t="n">
        <v>90</v>
      </c>
      <c r="B96" s="13" t="s">
        <v>1267</v>
      </c>
      <c r="C96" s="13" t="s">
        <v>1284</v>
      </c>
      <c r="D96" s="13" t="n">
        <v>2022</v>
      </c>
      <c r="E96" s="50" t="n">
        <f aca="false">CF!E10</f>
        <v>159712956</v>
      </c>
      <c r="F96" s="50" t="n">
        <f aca="false">CF!E45</f>
        <v>0</v>
      </c>
      <c r="G96" s="102" t="n">
        <f aca="false">IF(COUNT(E96:F96)=2,E96-F96,"")</f>
        <v>159712956</v>
      </c>
      <c r="H96" s="103" t="n">
        <v>1</v>
      </c>
      <c r="I96" s="4" t="str">
        <f aca="false">IF(COUNT(E96:F96)&lt;2,"N/A",IF(ABS(G96)&lt;=H96,"OK","❌"))</f>
        <v>❌</v>
      </c>
      <c r="J96" s="103" t="s">
        <v>1285</v>
      </c>
      <c r="K96" s="4" t="str">
        <f aca="false">IF(I96=J96,"✔ sesuai","✖ TIDAK sesuai")</f>
        <v>✔ sesuai</v>
      </c>
      <c r="L96" s="104" t="s">
        <v>1305</v>
      </c>
    </row>
    <row r="97" customFormat="false" ht="15" hidden="false" customHeight="false" outlineLevel="0" collapsed="false">
      <c r="A97" s="13" t="n">
        <v>91</v>
      </c>
      <c r="B97" s="13" t="s">
        <v>1267</v>
      </c>
      <c r="C97" s="13" t="s">
        <v>1287</v>
      </c>
      <c r="D97" s="13" t="n">
        <v>2022</v>
      </c>
      <c r="E97" s="50" t="n">
        <f aca="false">CF!E14</f>
        <v>-48836369112</v>
      </c>
      <c r="F97" s="50" t="n">
        <f aca="false">CF!E46</f>
        <v>-48836369112</v>
      </c>
      <c r="G97" s="102" t="n">
        <f aca="false">IF(COUNT(E97:F97)=2,E97-F97,"")</f>
        <v>0</v>
      </c>
      <c r="H97" s="103" t="n">
        <v>1</v>
      </c>
      <c r="I97" s="4" t="str">
        <f aca="false">IF(COUNT(E97:F97)&lt;2,"N/A",IF(ABS(G97)&lt;=H97,"OK","❌"))</f>
        <v>OK</v>
      </c>
      <c r="J97" s="103" t="s">
        <v>1269</v>
      </c>
      <c r="K97" s="4" t="str">
        <f aca="false">IF(I97=J97,"✔ sesuai","✖ TIDAK sesuai")</f>
        <v>✔ sesuai</v>
      </c>
      <c r="L97" s="104"/>
    </row>
    <row r="98" customFormat="false" ht="15" hidden="false" customHeight="false" outlineLevel="0" collapsed="false">
      <c r="A98" s="13" t="n">
        <v>92</v>
      </c>
      <c r="B98" s="13" t="s">
        <v>1267</v>
      </c>
      <c r="C98" s="13" t="s">
        <v>1288</v>
      </c>
      <c r="D98" s="13" t="n">
        <v>2022</v>
      </c>
      <c r="E98" s="50" t="n">
        <f aca="false">CF!E23</f>
        <v>39827160327</v>
      </c>
      <c r="F98" s="50" t="n">
        <f aca="false">CF!E47</f>
        <v>39827160327</v>
      </c>
      <c r="G98" s="102" t="n">
        <f aca="false">IF(COUNT(E98:F98)=2,E98-F98,"")</f>
        <v>0</v>
      </c>
      <c r="H98" s="103" t="n">
        <v>1</v>
      </c>
      <c r="I98" s="4" t="str">
        <f aca="false">IF(COUNT(E98:F98)&lt;2,"N/A",IF(ABS(G98)&lt;=H98,"OK","❌"))</f>
        <v>OK</v>
      </c>
      <c r="J98" s="103" t="s">
        <v>1269</v>
      </c>
      <c r="K98" s="4" t="str">
        <f aca="false">IF(I98=J98,"✔ sesuai","✖ TIDAK sesuai")</f>
        <v>✔ sesuai</v>
      </c>
      <c r="L98" s="104"/>
    </row>
    <row r="99" customFormat="false" ht="15" hidden="false" customHeight="false" outlineLevel="0" collapsed="false">
      <c r="A99" s="13" t="n">
        <v>93</v>
      </c>
      <c r="B99" s="13" t="s">
        <v>1267</v>
      </c>
      <c r="C99" s="13" t="s">
        <v>1289</v>
      </c>
      <c r="D99" s="13" t="n">
        <v>2022</v>
      </c>
      <c r="E99" s="50" t="n">
        <f aca="false">CF!E39</f>
        <v>249408214</v>
      </c>
      <c r="F99" s="50" t="n">
        <f aca="false">CF!E48</f>
        <v>249408214</v>
      </c>
      <c r="G99" s="102" t="n">
        <f aca="false">IF(COUNT(E99:F99)=2,E99-F99,"")</f>
        <v>0</v>
      </c>
      <c r="H99" s="103" t="n">
        <v>1</v>
      </c>
      <c r="I99" s="4" t="str">
        <f aca="false">IF(COUNT(E99:F99)&lt;2,"N/A",IF(ABS(G99)&lt;=H99,"OK","❌"))</f>
        <v>OK</v>
      </c>
      <c r="J99" s="103" t="s">
        <v>1269</v>
      </c>
      <c r="K99" s="4" t="str">
        <f aca="false">IF(I99=J99,"✔ sesuai","✖ TIDAK sesuai")</f>
        <v>✔ sesuai</v>
      </c>
      <c r="L99" s="104"/>
    </row>
    <row r="100" customFormat="false" ht="15" hidden="false" customHeight="false" outlineLevel="0" collapsed="false">
      <c r="A100" s="13" t="n">
        <v>94</v>
      </c>
      <c r="B100" s="13" t="s">
        <v>1267</v>
      </c>
      <c r="C100" s="13" t="s">
        <v>1290</v>
      </c>
      <c r="D100" s="13" t="n">
        <v>2022</v>
      </c>
      <c r="E100" s="50" t="n">
        <f aca="false">CF!E40</f>
        <v>-8759800571</v>
      </c>
      <c r="F100" s="50" t="n">
        <f aca="false">CF!E49</f>
        <v>-8759800571</v>
      </c>
      <c r="G100" s="102" t="n">
        <f aca="false">IF(COUNT(E100:F100)=2,E100-F100,"")</f>
        <v>0</v>
      </c>
      <c r="H100" s="103" t="n">
        <v>1</v>
      </c>
      <c r="I100" s="4" t="str">
        <f aca="false">IF(COUNT(E100:F100)&lt;2,"N/A",IF(ABS(G100)&lt;=H100,"OK","❌"))</f>
        <v>OK</v>
      </c>
      <c r="J100" s="103" t="s">
        <v>1269</v>
      </c>
      <c r="K100" s="4" t="str">
        <f aca="false">IF(I100=J100,"✔ sesuai","✖ TIDAK sesuai")</f>
        <v>✔ sesuai</v>
      </c>
      <c r="L100" s="104"/>
    </row>
    <row r="101" customFormat="false" ht="15" hidden="false" customHeight="false" outlineLevel="0" collapsed="false">
      <c r="A101" s="13" t="n">
        <v>95</v>
      </c>
      <c r="B101" s="13" t="s">
        <v>1267</v>
      </c>
      <c r="C101" s="13" t="s">
        <v>1291</v>
      </c>
      <c r="D101" s="13" t="n">
        <v>2022</v>
      </c>
      <c r="E101" s="50" t="n">
        <f aca="false">CF!E43</f>
        <v>533208033479</v>
      </c>
      <c r="F101" s="50" t="n">
        <f aca="false">CF!E50</f>
        <v>533208033479</v>
      </c>
      <c r="G101" s="102" t="n">
        <f aca="false">IF(COUNT(E101:F101)=2,E101-F101,"")</f>
        <v>0</v>
      </c>
      <c r="H101" s="103" t="n">
        <v>1</v>
      </c>
      <c r="I101" s="4" t="str">
        <f aca="false">IF(COUNT(E101:F101)&lt;2,"N/A",IF(ABS(G101)&lt;=H101,"OK","❌"))</f>
        <v>OK</v>
      </c>
      <c r="J101" s="103" t="s">
        <v>1269</v>
      </c>
      <c r="K101" s="4" t="str">
        <f aca="false">IF(I101=J101,"✔ sesuai","✖ TIDAK sesuai")</f>
        <v>✔ sesuai</v>
      </c>
      <c r="L101" s="104"/>
    </row>
    <row r="102" customFormat="false" ht="15" hidden="false" customHeight="false" outlineLevel="0" collapsed="false">
      <c r="A102" s="13" t="n">
        <v>96</v>
      </c>
      <c r="B102" s="13" t="s">
        <v>1292</v>
      </c>
      <c r="C102" s="13" t="s">
        <v>1293</v>
      </c>
      <c r="D102" s="13" t="n">
        <v>2022</v>
      </c>
      <c r="E102" s="50" t="n">
        <f aca="false">BS!E21</f>
        <v>4234621132412</v>
      </c>
      <c r="F102" s="50" t="n">
        <f aca="false">BS!E48</f>
        <v>4234621132412</v>
      </c>
      <c r="G102" s="102" t="n">
        <f aca="false">IF(COUNT(E102:F102)=2,E102-F102,"")</f>
        <v>0</v>
      </c>
      <c r="H102" s="103" t="n">
        <v>1</v>
      </c>
      <c r="I102" s="4" t="str">
        <f aca="false">IF(COUNT(E102:F102)&lt;2,"N/A",IF(ABS(G102)&lt;=H102,"OK","❌"))</f>
        <v>OK</v>
      </c>
      <c r="J102" s="103" t="s">
        <v>1269</v>
      </c>
      <c r="K102" s="4" t="str">
        <f aca="false">IF(I102=J102,"✔ sesuai","✖ TIDAK sesuai")</f>
        <v>✔ sesuai</v>
      </c>
      <c r="L102" s="104"/>
    </row>
    <row r="103" customFormat="false" ht="15" hidden="false" customHeight="false" outlineLevel="0" collapsed="false">
      <c r="A103" s="13" t="n">
        <v>97</v>
      </c>
      <c r="B103" s="13" t="s">
        <v>1292</v>
      </c>
      <c r="C103" s="13" t="s">
        <v>1294</v>
      </c>
      <c r="D103" s="13" t="n">
        <v>2022</v>
      </c>
      <c r="E103" s="50" t="n">
        <f aca="false">IS!E17</f>
        <v>-93604422306</v>
      </c>
      <c r="F103" s="50" t="n">
        <f aca="false">IS!E24+IS!E25</f>
        <v>-93604422306</v>
      </c>
      <c r="G103" s="102" t="n">
        <f aca="false">IF(COUNT(E103:F103)=2,E103-F103,"")</f>
        <v>0</v>
      </c>
      <c r="H103" s="103" t="n">
        <v>1</v>
      </c>
      <c r="I103" s="4" t="str">
        <f aca="false">IF(COUNT(E103:F103)&lt;2,"N/A",IF(ABS(G103)&lt;=H103,"OK","❌"))</f>
        <v>OK</v>
      </c>
      <c r="J103" s="103" t="s">
        <v>1269</v>
      </c>
      <c r="K103" s="4" t="str">
        <f aca="false">IF(I103=J103,"✔ sesuai","✖ TIDAK sesuai")</f>
        <v>✔ sesuai</v>
      </c>
      <c r="L103" s="104"/>
    </row>
    <row r="104" customFormat="false" ht="15" hidden="false" customHeight="false" outlineLevel="0" collapsed="false">
      <c r="A104" s="13" t="n">
        <v>98</v>
      </c>
      <c r="B104" s="13" t="s">
        <v>1292</v>
      </c>
      <c r="C104" s="13" t="s">
        <v>1295</v>
      </c>
      <c r="D104" s="13" t="n">
        <v>2022</v>
      </c>
      <c r="E104" s="50" t="n">
        <f aca="false">IS!E22</f>
        <v>-91376041315</v>
      </c>
      <c r="F104" s="50" t="n">
        <f aca="false">IS!E26+IS!E27</f>
        <v>-91376041315</v>
      </c>
      <c r="G104" s="102" t="n">
        <f aca="false">IF(COUNT(E104:F104)=2,E104-F104,"")</f>
        <v>0</v>
      </c>
      <c r="H104" s="103" t="n">
        <v>1</v>
      </c>
      <c r="I104" s="4" t="str">
        <f aca="false">IF(COUNT(E104:F104)&lt;2,"N/A",IF(ABS(G104)&lt;=H104,"OK","❌"))</f>
        <v>OK</v>
      </c>
      <c r="J104" s="103" t="s">
        <v>1269</v>
      </c>
      <c r="K104" s="4" t="str">
        <f aca="false">IF(I104=J104,"✔ sesuai","✖ TIDAK sesuai")</f>
        <v>✔ sesuai</v>
      </c>
      <c r="L104" s="104"/>
    </row>
    <row r="105" customFormat="false" ht="15" hidden="false" customHeight="false" outlineLevel="0" collapsed="false">
      <c r="A105" s="13" t="n">
        <v>99</v>
      </c>
      <c r="B105" s="13" t="s">
        <v>1292</v>
      </c>
      <c r="C105" s="13" t="s">
        <v>1296</v>
      </c>
      <c r="D105" s="13" t="n">
        <v>2022</v>
      </c>
      <c r="E105" s="50" t="n">
        <f aca="false">CF!E43</f>
        <v>533208033479</v>
      </c>
      <c r="F105" s="50" t="n">
        <f aca="false">BS!E6</f>
        <v>533208033479</v>
      </c>
      <c r="G105" s="102" t="n">
        <f aca="false">IF(COUNT(E105:F105)=2,E105-F105,"")</f>
        <v>0</v>
      </c>
      <c r="H105" s="103" t="n">
        <v>1</v>
      </c>
      <c r="I105" s="4" t="str">
        <f aca="false">IF(COUNT(E105:F105)&lt;2,"N/A",IF(ABS(G105)&lt;=H105,"OK","❌"))</f>
        <v>OK</v>
      </c>
      <c r="J105" s="103" t="s">
        <v>1269</v>
      </c>
      <c r="K105" s="4" t="str">
        <f aca="false">IF(I105=J105,"✔ sesuai","✖ TIDAK sesuai")</f>
        <v>✔ sesuai</v>
      </c>
      <c r="L105" s="104"/>
    </row>
    <row r="106" customFormat="false" ht="15" hidden="false" customHeight="false" outlineLevel="0" collapsed="false">
      <c r="A106" s="13" t="n">
        <v>100</v>
      </c>
      <c r="B106" s="13" t="s">
        <v>1292</v>
      </c>
      <c r="C106" s="13" t="s">
        <v>1297</v>
      </c>
      <c r="D106" s="13" t="n">
        <v>2022</v>
      </c>
      <c r="E106" s="61" t="n">
        <v>0</v>
      </c>
      <c r="F106" s="50" t="n">
        <f aca="false">CF!E38</f>
        <v>0</v>
      </c>
      <c r="G106" s="102" t="n">
        <f aca="false">IF(COUNT(E106:F106)=2,E106-F106,"")</f>
        <v>0</v>
      </c>
      <c r="H106" s="103" t="n">
        <v>1</v>
      </c>
      <c r="I106" s="4" t="str">
        <f aca="false">IF(COUNT(E106:F106)&lt;2,"N/A",IF(ABS(G106)&lt;=H106,"OK","❌"))</f>
        <v>OK</v>
      </c>
      <c r="J106" s="103" t="s">
        <v>1269</v>
      </c>
      <c r="K106" s="4" t="str">
        <f aca="false">IF(I106=J106,"✔ sesuai","✖ TIDAK sesuai")</f>
        <v>✔ sesuai</v>
      </c>
      <c r="L106" s="104" t="s">
        <v>1298</v>
      </c>
    </row>
    <row r="107" customFormat="false" ht="15" hidden="false" customHeight="false" outlineLevel="0" collapsed="false">
      <c r="A107" s="13" t="n">
        <v>101</v>
      </c>
      <c r="B107" s="13" t="s">
        <v>1306</v>
      </c>
      <c r="C107" s="13" t="s">
        <v>1307</v>
      </c>
      <c r="D107" s="13" t="n">
        <v>2022</v>
      </c>
      <c r="E107" s="50" t="n">
        <f aca="false">CF!E41</f>
        <v>542400475238</v>
      </c>
      <c r="F107" s="50" t="n">
        <f aca="false">BS!D6</f>
        <v>542400475238</v>
      </c>
      <c r="G107" s="102" t="n">
        <f aca="false">IF(COUNT(E107:F107)=2,E107-F107,"")</f>
        <v>0</v>
      </c>
      <c r="H107" s="103" t="n">
        <v>1</v>
      </c>
      <c r="I107" s="4" t="str">
        <f aca="false">IF(COUNT(E107:F107)&lt;2,"N/A",IF(ABS(G107)&lt;=H107,"OK","❌"))</f>
        <v>OK</v>
      </c>
      <c r="J107" s="103" t="s">
        <v>1269</v>
      </c>
      <c r="K107" s="4" t="str">
        <f aca="false">IF(I107=J107,"✔ sesuai","✖ TIDAK sesuai")</f>
        <v>✔ sesuai</v>
      </c>
      <c r="L107" s="104"/>
    </row>
    <row r="108" customFormat="false" ht="15" hidden="false" customHeight="false" outlineLevel="0" collapsed="false">
      <c r="A108" s="13" t="n">
        <v>102</v>
      </c>
      <c r="B108" s="13" t="s">
        <v>1306</v>
      </c>
      <c r="C108" s="13" t="s">
        <v>1308</v>
      </c>
      <c r="D108" s="13" t="n">
        <v>2022</v>
      </c>
      <c r="E108" s="50" t="n">
        <f aca="false">BS!D44+-91343061468+CF!E38+0</f>
        <v>-122376092871</v>
      </c>
      <c r="F108" s="50" t="n">
        <f aca="false">BS!E44</f>
        <v>-122376092871</v>
      </c>
      <c r="G108" s="102" t="n">
        <f aca="false">IF(COUNT(E108:F108)=2,E108-F108,"")</f>
        <v>0</v>
      </c>
      <c r="H108" s="103" t="n">
        <v>1</v>
      </c>
      <c r="I108" s="4" t="str">
        <f aca="false">IF(COUNT(E108:F108)&lt;2,"N/A",IF(ABS(G108)&lt;=H108,"OK","❌"))</f>
        <v>OK</v>
      </c>
      <c r="J108" s="103" t="s">
        <v>1269</v>
      </c>
      <c r="K108" s="4" t="str">
        <f aca="false">IF(I108=J108,"✔ sesuai","✖ TIDAK sesuai")</f>
        <v>✔ sesuai</v>
      </c>
      <c r="L108" s="104" t="s">
        <v>1309</v>
      </c>
    </row>
    <row r="109" customFormat="false" ht="15" hidden="false" customHeight="false" outlineLevel="0" collapsed="false">
      <c r="A109" s="13" t="n">
        <v>103</v>
      </c>
      <c r="B109" s="13" t="s">
        <v>1306</v>
      </c>
      <c r="C109" s="13" t="s">
        <v>1329</v>
      </c>
      <c r="D109" s="13" t="n">
        <v>2022</v>
      </c>
      <c r="E109" s="50" t="n">
        <f aca="false">Schedules!E29</f>
        <v>3037021081863</v>
      </c>
      <c r="F109" s="50" t="n">
        <f aca="false">Schedules!D34</f>
        <v>3037021081863</v>
      </c>
      <c r="G109" s="102" t="n">
        <f aca="false">IF(COUNT(E109:F109)=2,E109-F109,"")</f>
        <v>0</v>
      </c>
      <c r="H109" s="103" t="n">
        <v>1</v>
      </c>
      <c r="I109" s="4" t="str">
        <f aca="false">IF(COUNT(E109:F109)&lt;2,"N/A",IF(ABS(G109)&lt;=H109,"OK","❌"))</f>
        <v>OK</v>
      </c>
      <c r="J109" s="103" t="s">
        <v>1269</v>
      </c>
      <c r="K109" s="4" t="str">
        <f aca="false">IF(I109=J109,"✔ sesuai","✖ TIDAK sesuai")</f>
        <v>✔ sesuai</v>
      </c>
      <c r="L109" s="104"/>
    </row>
    <row r="110" customFormat="false" ht="15" hidden="false" customHeight="false" outlineLevel="0" collapsed="false">
      <c r="A110" s="13" t="n">
        <v>104</v>
      </c>
      <c r="B110" s="13" t="s">
        <v>1306</v>
      </c>
      <c r="C110" s="13" t="s">
        <v>1330</v>
      </c>
      <c r="D110" s="13" t="n">
        <v>2022</v>
      </c>
      <c r="E110" s="50" t="n">
        <f aca="false">Schedules!E37</f>
        <v>121230073828</v>
      </c>
      <c r="F110" s="50" t="n">
        <f aca="false">Schedules!D42</f>
        <v>121230073828</v>
      </c>
      <c r="G110" s="102" t="n">
        <f aca="false">IF(COUNT(E110:F110)=2,E110-F110,"")</f>
        <v>0</v>
      </c>
      <c r="H110" s="103" t="n">
        <v>1</v>
      </c>
      <c r="I110" s="4" t="str">
        <f aca="false">IF(COUNT(E110:F110)&lt;2,"N/A",IF(ABS(G110)&lt;=H110,"OK","❌"))</f>
        <v>OK</v>
      </c>
      <c r="J110" s="103" t="s">
        <v>1269</v>
      </c>
      <c r="K110" s="4" t="str">
        <f aca="false">IF(I110=J110,"✔ sesuai","✖ TIDAK sesuai")</f>
        <v>✔ sesuai</v>
      </c>
      <c r="L110" s="104"/>
    </row>
    <row r="111" customFormat="false" ht="15" hidden="false" customHeight="false" outlineLevel="0" collapsed="false">
      <c r="A111" s="13" t="n">
        <v>105</v>
      </c>
      <c r="B111" s="13" t="s">
        <v>1299</v>
      </c>
      <c r="C111" s="13" t="s">
        <v>1310</v>
      </c>
      <c r="D111" s="13" t="n">
        <v>2022</v>
      </c>
      <c r="E111" s="50" t="n">
        <f aca="false">Schedules!E10</f>
        <v>233970724609</v>
      </c>
      <c r="F111" s="50" t="n">
        <f aca="false">IS!E6</f>
        <v>233970724609</v>
      </c>
      <c r="G111" s="102" t="n">
        <f aca="false">IF(COUNT(E111:F111)=2,E111-F111,"")</f>
        <v>0</v>
      </c>
      <c r="H111" s="103" t="n">
        <v>1</v>
      </c>
      <c r="I111" s="4" t="str">
        <f aca="false">IF(COUNT(E111:F111)&lt;2,"N/A",IF(ABS(G111)&lt;=H111,"OK","❌"))</f>
        <v>OK</v>
      </c>
      <c r="J111" s="103" t="s">
        <v>1269</v>
      </c>
      <c r="K111" s="4" t="str">
        <f aca="false">IF(I111=J111,"✔ sesuai","✖ TIDAK sesuai")</f>
        <v>✔ sesuai</v>
      </c>
      <c r="L111" s="104"/>
    </row>
    <row r="112" customFormat="false" ht="15" hidden="false" customHeight="false" outlineLevel="0" collapsed="false">
      <c r="A112" s="13" t="n">
        <v>106</v>
      </c>
      <c r="B112" s="13" t="s">
        <v>1299</v>
      </c>
      <c r="C112" s="13" t="s">
        <v>1311</v>
      </c>
      <c r="D112" s="13" t="n">
        <v>2022</v>
      </c>
      <c r="E112" s="50" t="n">
        <f aca="false">Schedules!E62</f>
        <v>233970724609</v>
      </c>
      <c r="F112" s="50" t="n">
        <f aca="false">IS!E6</f>
        <v>233970724609</v>
      </c>
      <c r="G112" s="102" t="n">
        <f aca="false">IF(COUNT(E112:F112)=2,E112-F112,"")</f>
        <v>0</v>
      </c>
      <c r="H112" s="103" t="n">
        <v>1</v>
      </c>
      <c r="I112" s="4" t="str">
        <f aca="false">IF(COUNT(E112:F112)&lt;2,"N/A",IF(ABS(G112)&lt;=H112,"OK","❌"))</f>
        <v>OK</v>
      </c>
      <c r="J112" s="103" t="s">
        <v>1269</v>
      </c>
      <c r="K112" s="4" t="str">
        <f aca="false">IF(I112=J112,"✔ sesuai","✖ TIDAK sesuai")</f>
        <v>✔ sesuai</v>
      </c>
      <c r="L112" s="104"/>
    </row>
    <row r="113" customFormat="false" ht="15" hidden="false" customHeight="false" outlineLevel="0" collapsed="false">
      <c r="A113" s="13" t="n">
        <v>107</v>
      </c>
      <c r="B113" s="13" t="s">
        <v>1299</v>
      </c>
      <c r="C113" s="13" t="s">
        <v>1312</v>
      </c>
      <c r="D113" s="13" t="n">
        <v>2022</v>
      </c>
      <c r="E113" s="50" t="n">
        <f aca="false">Schedules!E76</f>
        <v>137738459043</v>
      </c>
      <c r="F113" s="50" t="n">
        <f aca="false">-IS!E7</f>
        <v>137738459043</v>
      </c>
      <c r="G113" s="102" t="n">
        <f aca="false">IF(COUNT(E113:F113)=2,E113-F113,"")</f>
        <v>0</v>
      </c>
      <c r="H113" s="103" t="n">
        <v>1</v>
      </c>
      <c r="I113" s="4" t="str">
        <f aca="false">IF(COUNT(E113:F113)&lt;2,"N/A",IF(ABS(G113)&lt;=H113,"OK","❌"))</f>
        <v>OK</v>
      </c>
      <c r="J113" s="103" t="s">
        <v>1269</v>
      </c>
      <c r="K113" s="4" t="str">
        <f aca="false">IF(I113=J113,"✔ sesuai","✖ TIDAK sesuai")</f>
        <v>✔ sesuai</v>
      </c>
      <c r="L113" s="104"/>
    </row>
    <row r="114" customFormat="false" ht="15" hidden="false" customHeight="false" outlineLevel="0" collapsed="false">
      <c r="A114" s="13" t="n">
        <v>108</v>
      </c>
      <c r="B114" s="13" t="s">
        <v>1299</v>
      </c>
      <c r="C114" s="13" t="s">
        <v>1313</v>
      </c>
      <c r="D114" s="13" t="n">
        <v>2022</v>
      </c>
      <c r="E114" s="50" t="n">
        <f aca="false">Schedules!E99</f>
        <v>156823647433</v>
      </c>
      <c r="F114" s="50" t="n">
        <f aca="false">-IS!E9</f>
        <v>156823647433</v>
      </c>
      <c r="G114" s="102" t="n">
        <f aca="false">IF(COUNT(E114:F114)=2,E114-F114,"")</f>
        <v>0</v>
      </c>
      <c r="H114" s="103" t="n">
        <v>1</v>
      </c>
      <c r="I114" s="4" t="str">
        <f aca="false">IF(COUNT(E114:F114)&lt;2,"N/A",IF(ABS(G114)&lt;=H114,"OK","❌"))</f>
        <v>OK</v>
      </c>
      <c r="J114" s="103" t="s">
        <v>1269</v>
      </c>
      <c r="K114" s="4" t="str">
        <f aca="false">IF(I114=J114,"✔ sesuai","✖ TIDAK sesuai")</f>
        <v>✔ sesuai</v>
      </c>
      <c r="L114" s="104"/>
    </row>
    <row r="115" customFormat="false" ht="15" hidden="false" customHeight="false" outlineLevel="0" collapsed="false">
      <c r="A115" s="13" t="n">
        <v>109</v>
      </c>
      <c r="B115" s="13" t="s">
        <v>1299</v>
      </c>
      <c r="C115" s="13" t="s">
        <v>1314</v>
      </c>
      <c r="D115" s="13" t="n">
        <v>2022</v>
      </c>
      <c r="E115" s="50" t="n">
        <f aca="false">Schedules!E108</f>
        <v>31784929332</v>
      </c>
      <c r="F115" s="50" t="n">
        <f aca="false">IS!E13</f>
        <v>31784929332</v>
      </c>
      <c r="G115" s="102" t="n">
        <f aca="false">IF(COUNT(E115:F115)=2,E115-F115,"")</f>
        <v>0</v>
      </c>
      <c r="H115" s="103" t="n">
        <v>1</v>
      </c>
      <c r="I115" s="4" t="str">
        <f aca="false">IF(COUNT(E115:F115)&lt;2,"N/A",IF(ABS(G115)&lt;=H115,"OK","❌"))</f>
        <v>OK</v>
      </c>
      <c r="J115" s="103" t="s">
        <v>1269</v>
      </c>
      <c r="K115" s="4" t="str">
        <f aca="false">IF(I115=J115,"✔ sesuai","✖ TIDAK sesuai")</f>
        <v>✔ sesuai</v>
      </c>
      <c r="L115" s="104"/>
    </row>
    <row r="116" customFormat="false" ht="15" hidden="false" customHeight="false" outlineLevel="0" collapsed="false">
      <c r="A116" s="13" t="n">
        <v>110</v>
      </c>
      <c r="B116" s="13" t="s">
        <v>1299</v>
      </c>
      <c r="C116" s="13" t="s">
        <v>1315</v>
      </c>
      <c r="D116" s="13" t="n">
        <v>2022</v>
      </c>
      <c r="E116" s="50" t="n">
        <f aca="false">Schedules!E117</f>
        <v>90146332117</v>
      </c>
      <c r="F116" s="50" t="n">
        <f aca="false">-IS!E14</f>
        <v>90146332117</v>
      </c>
      <c r="G116" s="102" t="n">
        <f aca="false">IF(COUNT(E116:F116)=2,E116-F116,"")</f>
        <v>0</v>
      </c>
      <c r="H116" s="103" t="n">
        <v>1</v>
      </c>
      <c r="I116" s="4" t="str">
        <f aca="false">IF(COUNT(E116:F116)&lt;2,"N/A",IF(ABS(G116)&lt;=H116,"OK","❌"))</f>
        <v>OK</v>
      </c>
      <c r="J116" s="103" t="s">
        <v>1269</v>
      </c>
      <c r="K116" s="4" t="str">
        <f aca="false">IF(I116=J116,"✔ sesuai","✖ TIDAK sesuai")</f>
        <v>✔ sesuai</v>
      </c>
      <c r="L116" s="104"/>
    </row>
    <row r="117" customFormat="false" ht="15" hidden="false" customHeight="false" outlineLevel="0" collapsed="false">
      <c r="A117" s="13" t="n">
        <v>111</v>
      </c>
      <c r="B117" s="13" t="s">
        <v>1299</v>
      </c>
      <c r="C117" s="13" t="s">
        <v>1316</v>
      </c>
      <c r="D117" s="13" t="n">
        <v>2022</v>
      </c>
      <c r="E117" s="50" t="n">
        <f aca="false">Schedules!E123</f>
        <v>25636825732</v>
      </c>
      <c r="F117" s="50" t="n">
        <f aca="false">IS!E11</f>
        <v>25636825732</v>
      </c>
      <c r="G117" s="102" t="n">
        <f aca="false">IF(COUNT(E117:F117)=2,E117-F117,"")</f>
        <v>0</v>
      </c>
      <c r="H117" s="103" t="n">
        <v>1</v>
      </c>
      <c r="I117" s="4" t="str">
        <f aca="false">IF(COUNT(E117:F117)&lt;2,"N/A",IF(ABS(G117)&lt;=H117,"OK","❌"))</f>
        <v>OK</v>
      </c>
      <c r="J117" s="103" t="s">
        <v>1269</v>
      </c>
      <c r="K117" s="4" t="str">
        <f aca="false">IF(I117=J117,"✔ sesuai","✖ TIDAK sesuai")</f>
        <v>✔ sesuai</v>
      </c>
      <c r="L117" s="104"/>
    </row>
    <row r="118" customFormat="false" ht="15" hidden="false" customHeight="false" outlineLevel="0" collapsed="false">
      <c r="A118" s="13" t="n">
        <v>112</v>
      </c>
      <c r="B118" s="13" t="s">
        <v>1299</v>
      </c>
      <c r="C118" s="13" t="s">
        <v>1317</v>
      </c>
      <c r="D118" s="13" t="n">
        <v>2022</v>
      </c>
      <c r="E118" s="50" t="n">
        <f aca="false">Schedules!E44</f>
        <v>3337354211724</v>
      </c>
      <c r="F118" s="50" t="n">
        <f aca="false">BS!E16</f>
        <v>3337354211724</v>
      </c>
      <c r="G118" s="102" t="n">
        <f aca="false">IF(COUNT(E118:F118)=2,E118-F118,"")</f>
        <v>0</v>
      </c>
      <c r="H118" s="103" t="n">
        <v>1</v>
      </c>
      <c r="I118" s="4" t="str">
        <f aca="false">IF(COUNT(E118:F118)&lt;2,"N/A",IF(ABS(G118)&lt;=H118,"OK","❌"))</f>
        <v>OK</v>
      </c>
      <c r="J118" s="103" t="s">
        <v>1269</v>
      </c>
      <c r="K118" s="4" t="str">
        <f aca="false">IF(I118=J118,"✔ sesuai","✖ TIDAK sesuai")</f>
        <v>✔ sesuai</v>
      </c>
      <c r="L118" s="104"/>
    </row>
    <row r="119" customFormat="false" ht="15" hidden="false" customHeight="false" outlineLevel="0" collapsed="false">
      <c r="A119" s="13" t="n">
        <v>113</v>
      </c>
      <c r="B119" s="13" t="s">
        <v>1318</v>
      </c>
      <c r="C119" s="13" t="s">
        <v>1319</v>
      </c>
      <c r="D119" s="13" t="n">
        <v>2022</v>
      </c>
      <c r="E119" s="50" t="n">
        <f aca="false">Schedules!E14</f>
        <v>22877629559</v>
      </c>
      <c r="F119" s="50" t="n">
        <f aca="false">Schedules!E15</f>
        <v>22877629559</v>
      </c>
      <c r="G119" s="102" t="n">
        <f aca="false">IF(COUNT(E119:F119)=2,E119-F119,"")</f>
        <v>0</v>
      </c>
      <c r="H119" s="103" t="n">
        <v>1</v>
      </c>
      <c r="I119" s="4" t="str">
        <f aca="false">IF(COUNT(E119:F119)&lt;2,"N/A",IF(ABS(G119)&lt;=H119,"OK","❌"))</f>
        <v>OK</v>
      </c>
      <c r="J119" s="103" t="s">
        <v>1269</v>
      </c>
      <c r="K119" s="4" t="str">
        <f aca="false">IF(I119=J119,"✔ sesuai","✖ TIDAK sesuai")</f>
        <v>✔ sesuai</v>
      </c>
      <c r="L119" s="104"/>
    </row>
    <row r="120" customFormat="false" ht="15" hidden="false" customHeight="false" outlineLevel="0" collapsed="false">
      <c r="A120" s="13" t="n">
        <v>114</v>
      </c>
      <c r="B120" s="13" t="s">
        <v>1318</v>
      </c>
      <c r="C120" s="13" t="s">
        <v>1320</v>
      </c>
      <c r="D120" s="13" t="n">
        <v>2022</v>
      </c>
      <c r="E120" s="50" t="n">
        <f aca="false">Schedules!E35</f>
        <v>3467630763681</v>
      </c>
      <c r="F120" s="50" t="n">
        <f aca="false">Schedules!E34</f>
        <v>3467630763681</v>
      </c>
      <c r="G120" s="102" t="n">
        <f aca="false">IF(COUNT(E120:F120)=2,E120-F120,"")</f>
        <v>0</v>
      </c>
      <c r="H120" s="103" t="n">
        <v>1</v>
      </c>
      <c r="I120" s="4" t="str">
        <f aca="false">IF(COUNT(E120:F120)&lt;2,"N/A",IF(ABS(G120)&lt;=H120,"OK","❌"))</f>
        <v>OK</v>
      </c>
      <c r="J120" s="103" t="s">
        <v>1269</v>
      </c>
      <c r="K120" s="4" t="str">
        <f aca="false">IF(I120=J120,"✔ sesuai","✖ TIDAK sesuai")</f>
        <v>✔ sesuai</v>
      </c>
      <c r="L120" s="104"/>
    </row>
    <row r="121" customFormat="false" ht="15" hidden="false" customHeight="false" outlineLevel="0" collapsed="false">
      <c r="A121" s="13" t="n">
        <v>115</v>
      </c>
      <c r="B121" s="13" t="s">
        <v>1318</v>
      </c>
      <c r="C121" s="13" t="s">
        <v>1321</v>
      </c>
      <c r="D121" s="13" t="n">
        <v>2022</v>
      </c>
      <c r="E121" s="50" t="n">
        <f aca="false">Schedules!E43</f>
        <v>130276551957</v>
      </c>
      <c r="F121" s="50" t="n">
        <f aca="false">Schedules!E42</f>
        <v>130276551957</v>
      </c>
      <c r="G121" s="102" t="n">
        <f aca="false">IF(COUNT(E121:F121)=2,E121-F121,"")</f>
        <v>0</v>
      </c>
      <c r="H121" s="103" t="n">
        <v>1</v>
      </c>
      <c r="I121" s="4" t="str">
        <f aca="false">IF(COUNT(E121:F121)&lt;2,"N/A",IF(ABS(G121)&lt;=H121,"OK","❌"))</f>
        <v>OK</v>
      </c>
      <c r="J121" s="103" t="s">
        <v>1269</v>
      </c>
      <c r="K121" s="4" t="str">
        <f aca="false">IF(I121=J121,"✔ sesuai","✖ TIDAK sesuai")</f>
        <v>✔ sesuai</v>
      </c>
      <c r="L121" s="104"/>
    </row>
    <row r="122" customFormat="false" ht="15" hidden="false" customHeight="false" outlineLevel="0" collapsed="false">
      <c r="A122" s="13" t="n">
        <v>116</v>
      </c>
      <c r="B122" s="13" t="s">
        <v>1318</v>
      </c>
      <c r="C122" s="13" t="s">
        <v>1322</v>
      </c>
      <c r="D122" s="13" t="n">
        <v>2022</v>
      </c>
      <c r="E122" s="50" t="n">
        <f aca="false">Schedules!E65</f>
        <v>233970724609</v>
      </c>
      <c r="F122" s="50" t="n">
        <f aca="false">Schedules!E62</f>
        <v>233970724609</v>
      </c>
      <c r="G122" s="102" t="n">
        <f aca="false">IF(COUNT(E122:F122)=2,E122-F122,"")</f>
        <v>0</v>
      </c>
      <c r="H122" s="103" t="n">
        <v>1</v>
      </c>
      <c r="I122" s="4" t="str">
        <f aca="false">IF(COUNT(E122:F122)&lt;2,"N/A",IF(ABS(G122)&lt;=H122,"OK","❌"))</f>
        <v>OK</v>
      </c>
      <c r="J122" s="103" t="s">
        <v>1269</v>
      </c>
      <c r="K122" s="4" t="str">
        <f aca="false">IF(I122=J122,"✔ sesuai","✖ TIDAK sesuai")</f>
        <v>✔ sesuai</v>
      </c>
      <c r="L122" s="104"/>
    </row>
    <row r="123" customFormat="false" ht="15" hidden="false" customHeight="false" outlineLevel="0" collapsed="false">
      <c r="A123" s="13" t="n">
        <v>117</v>
      </c>
      <c r="B123" s="13" t="s">
        <v>1318</v>
      </c>
      <c r="C123" s="13" t="s">
        <v>1323</v>
      </c>
      <c r="D123" s="13" t="n">
        <v>2022</v>
      </c>
      <c r="E123" s="50" t="n">
        <f aca="false">Schedules!E80</f>
        <v>137738459043</v>
      </c>
      <c r="F123" s="50" t="n">
        <f aca="false">Schedules!E76</f>
        <v>137738459043</v>
      </c>
      <c r="G123" s="102" t="n">
        <f aca="false">IF(COUNT(E123:F123)=2,E123-F123,"")</f>
        <v>0</v>
      </c>
      <c r="H123" s="103" t="n">
        <v>1</v>
      </c>
      <c r="I123" s="4" t="str">
        <f aca="false">IF(COUNT(E123:F123)&lt;2,"N/A",IF(ABS(G123)&lt;=H123,"OK","❌"))</f>
        <v>OK</v>
      </c>
      <c r="J123" s="103" t="s">
        <v>1269</v>
      </c>
      <c r="K123" s="4" t="str">
        <f aca="false">IF(I123=J123,"✔ sesuai","✖ TIDAK sesuai")</f>
        <v>✔ sesuai</v>
      </c>
      <c r="L123" s="104"/>
    </row>
    <row r="124" customFormat="false" ht="15" hidden="false" customHeight="false" outlineLevel="0" collapsed="false">
      <c r="A124" s="13" t="n">
        <v>118</v>
      </c>
      <c r="B124" s="13" t="s">
        <v>1318</v>
      </c>
      <c r="C124" s="13" t="s">
        <v>1324</v>
      </c>
      <c r="D124" s="13" t="n">
        <v>2022</v>
      </c>
      <c r="E124" s="50" t="n">
        <f aca="false">Schedules!E103</f>
        <v>156823647433</v>
      </c>
      <c r="F124" s="50" t="n">
        <f aca="false">Schedules!E99</f>
        <v>156823647433</v>
      </c>
      <c r="G124" s="102" t="n">
        <f aca="false">IF(COUNT(E124:F124)=2,E124-F124,"")</f>
        <v>0</v>
      </c>
      <c r="H124" s="103" t="n">
        <v>1</v>
      </c>
      <c r="I124" s="4" t="str">
        <f aca="false">IF(COUNT(E124:F124)&lt;2,"N/A",IF(ABS(G124)&lt;=H124,"OK","❌"))</f>
        <v>OK</v>
      </c>
      <c r="J124" s="103" t="s">
        <v>1269</v>
      </c>
      <c r="K124" s="4" t="str">
        <f aca="false">IF(I124=J124,"✔ sesuai","✖ TIDAK sesuai")</f>
        <v>✔ sesuai</v>
      </c>
      <c r="L124" s="104"/>
    </row>
    <row r="125" customFormat="false" ht="15" hidden="false" customHeight="false" outlineLevel="0" collapsed="false">
      <c r="A125" s="13" t="n">
        <v>119</v>
      </c>
      <c r="B125" s="13" t="s">
        <v>1318</v>
      </c>
      <c r="C125" s="13" t="s">
        <v>1325</v>
      </c>
      <c r="D125" s="13" t="n">
        <v>2022</v>
      </c>
      <c r="E125" s="50" t="n">
        <f aca="false">Schedules!E110</f>
        <v>31784929332</v>
      </c>
      <c r="F125" s="50" t="n">
        <f aca="false">Schedules!E108</f>
        <v>31784929332</v>
      </c>
      <c r="G125" s="102" t="n">
        <f aca="false">IF(COUNT(E125:F125)=2,E125-F125,"")</f>
        <v>0</v>
      </c>
      <c r="H125" s="103" t="n">
        <v>1</v>
      </c>
      <c r="I125" s="4" t="str">
        <f aca="false">IF(COUNT(E125:F125)&lt;2,"N/A",IF(ABS(G125)&lt;=H125,"OK","❌"))</f>
        <v>OK</v>
      </c>
      <c r="J125" s="103" t="s">
        <v>1269</v>
      </c>
      <c r="K125" s="4" t="str">
        <f aca="false">IF(I125=J125,"✔ sesuai","✖ TIDAK sesuai")</f>
        <v>✔ sesuai</v>
      </c>
      <c r="L125" s="104"/>
    </row>
    <row r="126" customFormat="false" ht="15" hidden="false" customHeight="false" outlineLevel="0" collapsed="false">
      <c r="A126" s="13" t="n">
        <v>120</v>
      </c>
      <c r="B126" s="13" t="s">
        <v>1318</v>
      </c>
      <c r="C126" s="13" t="s">
        <v>1326</v>
      </c>
      <c r="D126" s="13" t="n">
        <v>2022</v>
      </c>
      <c r="E126" s="50" t="n">
        <f aca="false">Schedules!E118</f>
        <v>90146332117</v>
      </c>
      <c r="F126" s="50" t="n">
        <f aca="false">Schedules!E117</f>
        <v>90146332117</v>
      </c>
      <c r="G126" s="102" t="n">
        <f aca="false">IF(COUNT(E126:F126)=2,E126-F126,"")</f>
        <v>0</v>
      </c>
      <c r="H126" s="103" t="n">
        <v>1</v>
      </c>
      <c r="I126" s="4" t="str">
        <f aca="false">IF(COUNT(E126:F126)&lt;2,"N/A",IF(ABS(G126)&lt;=H126,"OK","❌"))</f>
        <v>OK</v>
      </c>
      <c r="J126" s="103" t="s">
        <v>1269</v>
      </c>
      <c r="K126" s="4" t="str">
        <f aca="false">IF(I126=J126,"✔ sesuai","✖ TIDAK sesuai")</f>
        <v>✔ sesuai</v>
      </c>
      <c r="L126" s="104"/>
    </row>
    <row r="127" customFormat="false" ht="15" hidden="false" customHeight="false" outlineLevel="0" collapsed="false">
      <c r="A127" s="13" t="n">
        <v>121</v>
      </c>
      <c r="B127" s="13" t="s">
        <v>1318</v>
      </c>
      <c r="C127" s="13" t="s">
        <v>1327</v>
      </c>
      <c r="D127" s="13" t="n">
        <v>2022</v>
      </c>
      <c r="E127" s="50" t="n">
        <f aca="false">Schedules!E130</f>
        <v>25636825732</v>
      </c>
      <c r="F127" s="50" t="n">
        <f aca="false">Schedules!E123</f>
        <v>25636825732</v>
      </c>
      <c r="G127" s="102" t="n">
        <f aca="false">IF(COUNT(E127:F127)=2,E127-F127,"")</f>
        <v>0</v>
      </c>
      <c r="H127" s="103" t="n">
        <v>1</v>
      </c>
      <c r="I127" s="4" t="str">
        <f aca="false">IF(COUNT(E127:F127)&lt;2,"N/A",IF(ABS(G127)&lt;=H127,"OK","❌"))</f>
        <v>OK</v>
      </c>
      <c r="J127" s="103" t="s">
        <v>1269</v>
      </c>
      <c r="K127" s="4" t="str">
        <f aca="false">IF(I127=J127,"✔ sesuai","✖ TIDAK sesuai")</f>
        <v>✔ sesuai</v>
      </c>
      <c r="L127" s="104"/>
    </row>
    <row r="128" customFormat="false" ht="15" hidden="false" customHeight="false" outlineLevel="0" collapsed="false">
      <c r="A128" s="13" t="n">
        <v>122</v>
      </c>
      <c r="B128" s="13" t="s">
        <v>1302</v>
      </c>
      <c r="C128" s="13" t="s">
        <v>1328</v>
      </c>
      <c r="D128" s="13" t="n">
        <v>2022</v>
      </c>
      <c r="E128" s="50" t="n">
        <f aca="false">IS!E28</f>
        <v>-2.81</v>
      </c>
      <c r="F128" s="50" t="n">
        <f aca="false">ROUND(IS!E24/Schedules!E20,2)</f>
        <v>-2.81</v>
      </c>
      <c r="G128" s="102" t="n">
        <f aca="false">IF(COUNT(E128:F128)=2,E128-F128,"")</f>
        <v>0</v>
      </c>
      <c r="H128" s="103" t="n">
        <v>1</v>
      </c>
      <c r="I128" s="4" t="str">
        <f aca="false">IF(COUNT(E128:F128)&lt;2,"N/A",IF(ABS(G128)&lt;=H128,"OK","❌"))</f>
        <v>OK</v>
      </c>
      <c r="J128" s="103" t="s">
        <v>1269</v>
      </c>
      <c r="K128" s="4" t="str">
        <f aca="false">IF(I128=J128,"✔ sesuai","✖ TIDAK sesuai")</f>
        <v>✔ sesuai</v>
      </c>
      <c r="L128" s="104"/>
    </row>
    <row r="129" customFormat="false" ht="15" hidden="false" customHeight="false" outlineLevel="0" collapsed="false">
      <c r="A129" s="13" t="n">
        <v>123</v>
      </c>
      <c r="B129" s="13" t="s">
        <v>1267</v>
      </c>
      <c r="C129" s="13" t="s">
        <v>1268</v>
      </c>
      <c r="D129" s="13" t="n">
        <v>2023</v>
      </c>
      <c r="E129" s="50" t="n">
        <f aca="false">IS!F8</f>
        <v>89654268942</v>
      </c>
      <c r="F129" s="50" t="n">
        <f aca="false">IS!F34</f>
        <v>89654268942</v>
      </c>
      <c r="G129" s="102" t="n">
        <f aca="false">IF(COUNT(E129:F129)=2,E129-F129,"")</f>
        <v>0</v>
      </c>
      <c r="H129" s="103" t="n">
        <v>1</v>
      </c>
      <c r="I129" s="4" t="str">
        <f aca="false">IF(COUNT(E129:F129)&lt;2,"N/A",IF(ABS(G129)&lt;=H129,"OK","❌"))</f>
        <v>OK</v>
      </c>
      <c r="J129" s="103" t="s">
        <v>1269</v>
      </c>
      <c r="K129" s="4" t="str">
        <f aca="false">IF(I129=J129,"✔ sesuai","✖ TIDAK sesuai")</f>
        <v>✔ sesuai</v>
      </c>
      <c r="L129" s="104"/>
    </row>
    <row r="130" customFormat="false" ht="15" hidden="false" customHeight="false" outlineLevel="0" collapsed="false">
      <c r="A130" s="13" t="n">
        <v>124</v>
      </c>
      <c r="B130" s="13" t="s">
        <v>1267</v>
      </c>
      <c r="C130" s="13" t="s">
        <v>1270</v>
      </c>
      <c r="D130" s="13" t="n">
        <v>2023</v>
      </c>
      <c r="E130" s="50" t="n">
        <f aca="false">IS!F10</f>
        <v>-36138783500</v>
      </c>
      <c r="F130" s="50" t="n">
        <f aca="false">IS!F35</f>
        <v>-36138783500</v>
      </c>
      <c r="G130" s="102" t="n">
        <f aca="false">IF(COUNT(E130:F130)=2,E130-F130,"")</f>
        <v>0</v>
      </c>
      <c r="H130" s="103" t="n">
        <v>1</v>
      </c>
      <c r="I130" s="4" t="str">
        <f aca="false">IF(COUNT(E130:F130)&lt;2,"N/A",IF(ABS(G130)&lt;=H130,"OK","❌"))</f>
        <v>OK</v>
      </c>
      <c r="J130" s="103" t="s">
        <v>1269</v>
      </c>
      <c r="K130" s="4" t="str">
        <f aca="false">IF(I130=J130,"✔ sesuai","✖ TIDAK sesuai")</f>
        <v>✔ sesuai</v>
      </c>
      <c r="L130" s="104"/>
    </row>
    <row r="131" customFormat="false" ht="15" hidden="false" customHeight="false" outlineLevel="0" collapsed="false">
      <c r="A131" s="13" t="n">
        <v>125</v>
      </c>
      <c r="B131" s="13" t="s">
        <v>1267</v>
      </c>
      <c r="C131" s="13" t="s">
        <v>1271</v>
      </c>
      <c r="D131" s="13" t="n">
        <v>2023</v>
      </c>
      <c r="E131" s="50" t="n">
        <f aca="false">IS!F15</f>
        <v>-106122839786</v>
      </c>
      <c r="F131" s="50" t="n">
        <f aca="false">IS!F36</f>
        <v>-106122839786</v>
      </c>
      <c r="G131" s="102" t="n">
        <f aca="false">IF(COUNT(E131:F131)=2,E131-F131,"")</f>
        <v>0</v>
      </c>
      <c r="H131" s="103" t="n">
        <v>1</v>
      </c>
      <c r="I131" s="4" t="str">
        <f aca="false">IF(COUNT(E131:F131)&lt;2,"N/A",IF(ABS(G131)&lt;=H131,"OK","❌"))</f>
        <v>OK</v>
      </c>
      <c r="J131" s="103" t="s">
        <v>1269</v>
      </c>
      <c r="K131" s="4" t="str">
        <f aca="false">IF(I131=J131,"✔ sesuai","✖ TIDAK sesuai")</f>
        <v>✔ sesuai</v>
      </c>
      <c r="L131" s="104"/>
    </row>
    <row r="132" customFormat="false" ht="15" hidden="false" customHeight="false" outlineLevel="0" collapsed="false">
      <c r="A132" s="13" t="n">
        <v>126</v>
      </c>
      <c r="B132" s="13" t="s">
        <v>1267</v>
      </c>
      <c r="C132" s="13" t="s">
        <v>1272</v>
      </c>
      <c r="D132" s="13" t="n">
        <v>2023</v>
      </c>
      <c r="E132" s="50" t="n">
        <f aca="false">IS!F17</f>
        <v>-110688861895</v>
      </c>
      <c r="F132" s="50" t="n">
        <f aca="false">IS!F37</f>
        <v>-110688861895</v>
      </c>
      <c r="G132" s="102" t="n">
        <f aca="false">IF(COUNT(E132:F132)=2,E132-F132,"")</f>
        <v>0</v>
      </c>
      <c r="H132" s="103" t="n">
        <v>1</v>
      </c>
      <c r="I132" s="4" t="str">
        <f aca="false">IF(COUNT(E132:F132)&lt;2,"N/A",IF(ABS(G132)&lt;=H132,"OK","❌"))</f>
        <v>OK</v>
      </c>
      <c r="J132" s="103" t="s">
        <v>1269</v>
      </c>
      <c r="K132" s="4" t="str">
        <f aca="false">IF(I132=J132,"✔ sesuai","✖ TIDAK sesuai")</f>
        <v>✔ sesuai</v>
      </c>
      <c r="L132" s="104"/>
    </row>
    <row r="133" customFormat="false" ht="15" hidden="false" customHeight="false" outlineLevel="0" collapsed="false">
      <c r="A133" s="13" t="n">
        <v>127</v>
      </c>
      <c r="B133" s="13" t="s">
        <v>1267</v>
      </c>
      <c r="C133" s="13" t="s">
        <v>1273</v>
      </c>
      <c r="D133" s="13" t="n">
        <v>2023</v>
      </c>
      <c r="E133" s="50" t="n">
        <f aca="false">IS!F21</f>
        <v>1521067374</v>
      </c>
      <c r="F133" s="50" t="n">
        <f aca="false">IS!F38</f>
        <v>1521067374</v>
      </c>
      <c r="G133" s="102" t="n">
        <f aca="false">IF(COUNT(E133:F133)=2,E133-F133,"")</f>
        <v>0</v>
      </c>
      <c r="H133" s="103" t="n">
        <v>1</v>
      </c>
      <c r="I133" s="4" t="str">
        <f aca="false">IF(COUNT(E133:F133)&lt;2,"N/A",IF(ABS(G133)&lt;=H133,"OK","❌"))</f>
        <v>OK</v>
      </c>
      <c r="J133" s="103" t="s">
        <v>1269</v>
      </c>
      <c r="K133" s="4" t="str">
        <f aca="false">IF(I133=J133,"✔ sesuai","✖ TIDAK sesuai")</f>
        <v>✔ sesuai</v>
      </c>
      <c r="L133" s="104"/>
    </row>
    <row r="134" customFormat="false" ht="15" hidden="false" customHeight="false" outlineLevel="0" collapsed="false">
      <c r="A134" s="13" t="n">
        <v>128</v>
      </c>
      <c r="B134" s="13" t="s">
        <v>1267</v>
      </c>
      <c r="C134" s="13" t="s">
        <v>1274</v>
      </c>
      <c r="D134" s="13" t="n">
        <v>2023</v>
      </c>
      <c r="E134" s="50" t="n">
        <f aca="false">IS!F22</f>
        <v>-109167794521</v>
      </c>
      <c r="F134" s="50" t="n">
        <f aca="false">IS!F39</f>
        <v>-109167794521</v>
      </c>
      <c r="G134" s="102" t="n">
        <f aca="false">IF(COUNT(E134:F134)=2,E134-F134,"")</f>
        <v>0</v>
      </c>
      <c r="H134" s="103" t="n">
        <v>1</v>
      </c>
      <c r="I134" s="4" t="str">
        <f aca="false">IF(COUNT(E134:F134)&lt;2,"N/A",IF(ABS(G134)&lt;=H134,"OK","❌"))</f>
        <v>OK</v>
      </c>
      <c r="J134" s="103" t="s">
        <v>1269</v>
      </c>
      <c r="K134" s="4" t="str">
        <f aca="false">IF(I134=J134,"✔ sesuai","✖ TIDAK sesuai")</f>
        <v>✔ sesuai</v>
      </c>
      <c r="L134" s="104"/>
    </row>
    <row r="135" customFormat="false" ht="15" hidden="false" customHeight="false" outlineLevel="0" collapsed="false">
      <c r="A135" s="13" t="n">
        <v>129</v>
      </c>
      <c r="B135" s="13" t="s">
        <v>1267</v>
      </c>
      <c r="C135" s="13" t="s">
        <v>1275</v>
      </c>
      <c r="D135" s="13" t="n">
        <v>2023</v>
      </c>
      <c r="E135" s="50" t="n">
        <f aca="false">BS!F15</f>
        <v>794519472582</v>
      </c>
      <c r="F135" s="50" t="n">
        <f aca="false">BS!F50</f>
        <v>794519472582</v>
      </c>
      <c r="G135" s="102" t="n">
        <f aca="false">IF(COUNT(E135:F135)=2,E135-F135,"")</f>
        <v>0</v>
      </c>
      <c r="H135" s="103" t="n">
        <v>1</v>
      </c>
      <c r="I135" s="4" t="str">
        <f aca="false">IF(COUNT(E135:F135)&lt;2,"N/A",IF(ABS(G135)&lt;=H135,"OK","❌"))</f>
        <v>OK</v>
      </c>
      <c r="J135" s="103" t="s">
        <v>1269</v>
      </c>
      <c r="K135" s="4" t="str">
        <f aca="false">IF(I135=J135,"✔ sesuai","✖ TIDAK sesuai")</f>
        <v>✔ sesuai</v>
      </c>
      <c r="L135" s="104"/>
    </row>
    <row r="136" customFormat="false" ht="15" hidden="false" customHeight="false" outlineLevel="0" collapsed="false">
      <c r="A136" s="13" t="n">
        <v>130</v>
      </c>
      <c r="B136" s="13" t="s">
        <v>1267</v>
      </c>
      <c r="C136" s="13" t="s">
        <v>1276</v>
      </c>
      <c r="D136" s="13" t="n">
        <v>2023</v>
      </c>
      <c r="E136" s="50" t="n">
        <f aca="false">BS!F20</f>
        <v>3342486785131</v>
      </c>
      <c r="F136" s="50" t="n">
        <f aca="false">BS!F51</f>
        <v>3342486785131</v>
      </c>
      <c r="G136" s="102" t="n">
        <f aca="false">IF(COUNT(E136:F136)=2,E136-F136,"")</f>
        <v>0</v>
      </c>
      <c r="H136" s="103" t="n">
        <v>1</v>
      </c>
      <c r="I136" s="4" t="str">
        <f aca="false">IF(COUNT(E136:F136)&lt;2,"N/A",IF(ABS(G136)&lt;=H136,"OK","❌"))</f>
        <v>OK</v>
      </c>
      <c r="J136" s="103" t="s">
        <v>1269</v>
      </c>
      <c r="K136" s="4" t="str">
        <f aca="false">IF(I136=J136,"✔ sesuai","✖ TIDAK sesuai")</f>
        <v>✔ sesuai</v>
      </c>
      <c r="L136" s="104"/>
    </row>
    <row r="137" customFormat="false" ht="15" hidden="false" customHeight="false" outlineLevel="0" collapsed="false">
      <c r="A137" s="13" t="n">
        <v>131</v>
      </c>
      <c r="B137" s="13" t="s">
        <v>1267</v>
      </c>
      <c r="C137" s="13" t="s">
        <v>1277</v>
      </c>
      <c r="D137" s="13" t="n">
        <v>2023</v>
      </c>
      <c r="E137" s="50" t="n">
        <f aca="false">BS!F21</f>
        <v>4137006257713</v>
      </c>
      <c r="F137" s="50" t="n">
        <f aca="false">BS!F52</f>
        <v>4137006257713</v>
      </c>
      <c r="G137" s="102" t="n">
        <f aca="false">IF(COUNT(E137:F137)=2,E137-F137,"")</f>
        <v>0</v>
      </c>
      <c r="H137" s="103" t="n">
        <v>1</v>
      </c>
      <c r="I137" s="4" t="str">
        <f aca="false">IF(COUNT(E137:F137)&lt;2,"N/A",IF(ABS(G137)&lt;=H137,"OK","❌"))</f>
        <v>OK</v>
      </c>
      <c r="J137" s="103" t="s">
        <v>1269</v>
      </c>
      <c r="K137" s="4" t="str">
        <f aca="false">IF(I137=J137,"✔ sesuai","✖ TIDAK sesuai")</f>
        <v>✔ sesuai</v>
      </c>
      <c r="L137" s="104"/>
    </row>
    <row r="138" customFormat="false" ht="15" hidden="false" customHeight="false" outlineLevel="0" collapsed="false">
      <c r="A138" s="13" t="n">
        <v>132</v>
      </c>
      <c r="B138" s="13" t="s">
        <v>1267</v>
      </c>
      <c r="C138" s="13" t="s">
        <v>1278</v>
      </c>
      <c r="D138" s="13" t="n">
        <v>2023</v>
      </c>
      <c r="E138" s="50" t="n">
        <f aca="false">BS!F33</f>
        <v>903647240409</v>
      </c>
      <c r="F138" s="50" t="n">
        <f aca="false">BS!F53</f>
        <v>903647240409</v>
      </c>
      <c r="G138" s="102" t="n">
        <f aca="false">IF(COUNT(E138:F138)=2,E138-F138,"")</f>
        <v>0</v>
      </c>
      <c r="H138" s="103" t="n">
        <v>1</v>
      </c>
      <c r="I138" s="4" t="str">
        <f aca="false">IF(COUNT(E138:F138)&lt;2,"N/A",IF(ABS(G138)&lt;=H138,"OK","❌"))</f>
        <v>OK</v>
      </c>
      <c r="J138" s="103" t="s">
        <v>1269</v>
      </c>
      <c r="K138" s="4" t="str">
        <f aca="false">IF(I138=J138,"✔ sesuai","✖ TIDAK sesuai")</f>
        <v>✔ sesuai</v>
      </c>
      <c r="L138" s="104"/>
    </row>
    <row r="139" customFormat="false" ht="15" hidden="false" customHeight="false" outlineLevel="0" collapsed="false">
      <c r="A139" s="13" t="n">
        <v>133</v>
      </c>
      <c r="B139" s="13" t="s">
        <v>1267</v>
      </c>
      <c r="C139" s="13" t="s">
        <v>1279</v>
      </c>
      <c r="D139" s="13" t="n">
        <v>2023</v>
      </c>
      <c r="E139" s="50" t="n">
        <f aca="false">BS!F39</f>
        <v>135635009303</v>
      </c>
      <c r="F139" s="50" t="n">
        <f aca="false">BS!F54</f>
        <v>135635009303</v>
      </c>
      <c r="G139" s="102" t="n">
        <f aca="false">IF(COUNT(E139:F139)=2,E139-F139,"")</f>
        <v>0</v>
      </c>
      <c r="H139" s="103" t="n">
        <v>1</v>
      </c>
      <c r="I139" s="4" t="str">
        <f aca="false">IF(COUNT(E139:F139)&lt;2,"N/A",IF(ABS(G139)&lt;=H139,"OK","❌"))</f>
        <v>OK</v>
      </c>
      <c r="J139" s="103" t="s">
        <v>1269</v>
      </c>
      <c r="K139" s="4" t="str">
        <f aca="false">IF(I139=J139,"✔ sesuai","✖ TIDAK sesuai")</f>
        <v>✔ sesuai</v>
      </c>
      <c r="L139" s="104"/>
    </row>
    <row r="140" customFormat="false" ht="15" hidden="false" customHeight="false" outlineLevel="0" collapsed="false">
      <c r="A140" s="13" t="n">
        <v>134</v>
      </c>
      <c r="B140" s="13" t="s">
        <v>1267</v>
      </c>
      <c r="C140" s="13" t="s">
        <v>1280</v>
      </c>
      <c r="D140" s="13" t="n">
        <v>2023</v>
      </c>
      <c r="E140" s="50" t="n">
        <f aca="false">BS!F40</f>
        <v>1039282249712</v>
      </c>
      <c r="F140" s="50" t="n">
        <f aca="false">BS!F55</f>
        <v>1039282249712</v>
      </c>
      <c r="G140" s="102" t="n">
        <f aca="false">IF(COUNT(E140:F140)=2,E140-F140,"")</f>
        <v>0</v>
      </c>
      <c r="H140" s="103" t="n">
        <v>1</v>
      </c>
      <c r="I140" s="4" t="str">
        <f aca="false">IF(COUNT(E140:F140)&lt;2,"N/A",IF(ABS(G140)&lt;=H140,"OK","❌"))</f>
        <v>OK</v>
      </c>
      <c r="J140" s="103" t="s">
        <v>1269</v>
      </c>
      <c r="K140" s="4" t="str">
        <f aca="false">IF(I140=J140,"✔ sesuai","✖ TIDAK sesuai")</f>
        <v>✔ sesuai</v>
      </c>
      <c r="L140" s="104"/>
    </row>
    <row r="141" customFormat="false" ht="15" hidden="false" customHeight="false" outlineLevel="0" collapsed="false">
      <c r="A141" s="13" t="n">
        <v>135</v>
      </c>
      <c r="B141" s="13" t="s">
        <v>1267</v>
      </c>
      <c r="C141" s="13" t="s">
        <v>1281</v>
      </c>
      <c r="D141" s="13" t="n">
        <v>2023</v>
      </c>
      <c r="E141" s="50" t="n">
        <f aca="false">BS!F45</f>
        <v>3096499493860</v>
      </c>
      <c r="F141" s="50" t="n">
        <f aca="false">BS!F56</f>
        <v>3096499493860</v>
      </c>
      <c r="G141" s="102" t="n">
        <f aca="false">IF(COUNT(E141:F141)=2,E141-F141,"")</f>
        <v>0</v>
      </c>
      <c r="H141" s="103" t="n">
        <v>1</v>
      </c>
      <c r="I141" s="4" t="str">
        <f aca="false">IF(COUNT(E141:F141)&lt;2,"N/A",IF(ABS(G141)&lt;=H141,"OK","❌"))</f>
        <v>OK</v>
      </c>
      <c r="J141" s="103" t="s">
        <v>1269</v>
      </c>
      <c r="K141" s="4" t="str">
        <f aca="false">IF(I141=J141,"✔ sesuai","✖ TIDAK sesuai")</f>
        <v>✔ sesuai</v>
      </c>
      <c r="L141" s="104"/>
    </row>
    <row r="142" customFormat="false" ht="15" hidden="false" customHeight="false" outlineLevel="0" collapsed="false">
      <c r="A142" s="13" t="n">
        <v>136</v>
      </c>
      <c r="B142" s="13" t="s">
        <v>1267</v>
      </c>
      <c r="C142" s="13" t="s">
        <v>1282</v>
      </c>
      <c r="D142" s="13" t="n">
        <v>2023</v>
      </c>
      <c r="E142" s="50" t="n">
        <f aca="false">BS!F47</f>
        <v>3097724008001</v>
      </c>
      <c r="F142" s="50" t="n">
        <f aca="false">BS!F57</f>
        <v>3097724008001</v>
      </c>
      <c r="G142" s="102" t="n">
        <f aca="false">IF(COUNT(E142:F142)=2,E142-F142,"")</f>
        <v>0</v>
      </c>
      <c r="H142" s="103" t="n">
        <v>1</v>
      </c>
      <c r="I142" s="4" t="str">
        <f aca="false">IF(COUNT(E142:F142)&lt;2,"N/A",IF(ABS(G142)&lt;=H142,"OK","❌"))</f>
        <v>OK</v>
      </c>
      <c r="J142" s="103" t="s">
        <v>1269</v>
      </c>
      <c r="K142" s="4" t="str">
        <f aca="false">IF(I142=J142,"✔ sesuai","✖ TIDAK sesuai")</f>
        <v>✔ sesuai</v>
      </c>
      <c r="L142" s="104"/>
    </row>
    <row r="143" customFormat="false" ht="15" hidden="false" customHeight="false" outlineLevel="0" collapsed="false">
      <c r="A143" s="13" t="n">
        <v>137</v>
      </c>
      <c r="B143" s="13" t="s">
        <v>1267</v>
      </c>
      <c r="C143" s="13" t="s">
        <v>1283</v>
      </c>
      <c r="D143" s="13" t="n">
        <v>2023</v>
      </c>
      <c r="E143" s="50" t="n">
        <f aca="false">BS!F48</f>
        <v>4137006257713</v>
      </c>
      <c r="F143" s="50" t="n">
        <f aca="false">BS!F58</f>
        <v>4137006257713</v>
      </c>
      <c r="G143" s="102" t="n">
        <f aca="false">IF(COUNT(E143:F143)=2,E143-F143,"")</f>
        <v>0</v>
      </c>
      <c r="H143" s="103" t="n">
        <v>1</v>
      </c>
      <c r="I143" s="4" t="str">
        <f aca="false">IF(COUNT(E143:F143)&lt;2,"N/A",IF(ABS(G143)&lt;=H143,"OK","❌"))</f>
        <v>OK</v>
      </c>
      <c r="J143" s="103" t="s">
        <v>1269</v>
      </c>
      <c r="K143" s="4" t="str">
        <f aca="false">IF(I143=J143,"✔ sesuai","✖ TIDAK sesuai")</f>
        <v>✔ sesuai</v>
      </c>
      <c r="L143" s="104"/>
    </row>
    <row r="144" customFormat="false" ht="15" hidden="false" customHeight="false" outlineLevel="0" collapsed="false">
      <c r="A144" s="13" t="n">
        <v>138</v>
      </c>
      <c r="B144" s="13" t="s">
        <v>1267</v>
      </c>
      <c r="C144" s="13" t="s">
        <v>1284</v>
      </c>
      <c r="D144" s="13" t="n">
        <v>2023</v>
      </c>
      <c r="E144" s="50" t="n">
        <f aca="false">CF!F10</f>
        <v>-6192760663</v>
      </c>
      <c r="F144" s="50" t="n">
        <f aca="false">CF!F45</f>
        <v>-6192760663</v>
      </c>
      <c r="G144" s="102" t="n">
        <f aca="false">IF(COUNT(E144:F144)=2,E144-F144,"")</f>
        <v>0</v>
      </c>
      <c r="H144" s="103" t="n">
        <v>1</v>
      </c>
      <c r="I144" s="4" t="str">
        <f aca="false">IF(COUNT(E144:F144)&lt;2,"N/A",IF(ABS(G144)&lt;=H144,"OK","❌"))</f>
        <v>OK</v>
      </c>
      <c r="J144" s="103" t="s">
        <v>1269</v>
      </c>
      <c r="K144" s="4" t="str">
        <f aca="false">IF(I144=J144,"✔ sesuai","✖ TIDAK sesuai")</f>
        <v>✔ sesuai</v>
      </c>
      <c r="L144" s="104"/>
    </row>
    <row r="145" customFormat="false" ht="15" hidden="false" customHeight="false" outlineLevel="0" collapsed="false">
      <c r="A145" s="13" t="n">
        <v>139</v>
      </c>
      <c r="B145" s="13" t="s">
        <v>1267</v>
      </c>
      <c r="C145" s="13" t="s">
        <v>1287</v>
      </c>
      <c r="D145" s="13" t="n">
        <v>2023</v>
      </c>
      <c r="E145" s="50" t="n">
        <f aca="false">CF!F14</f>
        <v>-83033264168</v>
      </c>
      <c r="F145" s="50" t="n">
        <f aca="false">CF!F46</f>
        <v>-83033264168</v>
      </c>
      <c r="G145" s="102" t="n">
        <f aca="false">IF(COUNT(E145:F145)=2,E145-F145,"")</f>
        <v>0</v>
      </c>
      <c r="H145" s="103" t="n">
        <v>1</v>
      </c>
      <c r="I145" s="4" t="str">
        <f aca="false">IF(COUNT(E145:F145)&lt;2,"N/A",IF(ABS(G145)&lt;=H145,"OK","❌"))</f>
        <v>OK</v>
      </c>
      <c r="J145" s="103" t="s">
        <v>1269</v>
      </c>
      <c r="K145" s="4" t="str">
        <f aca="false">IF(I145=J145,"✔ sesuai","✖ TIDAK sesuai")</f>
        <v>✔ sesuai</v>
      </c>
      <c r="L145" s="104"/>
    </row>
    <row r="146" customFormat="false" ht="15" hidden="false" customHeight="false" outlineLevel="0" collapsed="false">
      <c r="A146" s="13" t="n">
        <v>140</v>
      </c>
      <c r="B146" s="13" t="s">
        <v>1267</v>
      </c>
      <c r="C146" s="13" t="s">
        <v>1288</v>
      </c>
      <c r="D146" s="13" t="n">
        <v>2023</v>
      </c>
      <c r="E146" s="50" t="n">
        <f aca="false">CF!F23</f>
        <v>78509989050</v>
      </c>
      <c r="F146" s="50" t="n">
        <f aca="false">CF!F47</f>
        <v>78509989050</v>
      </c>
      <c r="G146" s="102" t="n">
        <f aca="false">IF(COUNT(E146:F146)=2,E146-F146,"")</f>
        <v>0</v>
      </c>
      <c r="H146" s="103" t="n">
        <v>1</v>
      </c>
      <c r="I146" s="4" t="str">
        <f aca="false">IF(COUNT(E146:F146)&lt;2,"N/A",IF(ABS(G146)&lt;=H146,"OK","❌"))</f>
        <v>OK</v>
      </c>
      <c r="J146" s="103" t="s">
        <v>1269</v>
      </c>
      <c r="K146" s="4" t="str">
        <f aca="false">IF(I146=J146,"✔ sesuai","✖ TIDAK sesuai")</f>
        <v>✔ sesuai</v>
      </c>
      <c r="L146" s="104"/>
    </row>
    <row r="147" customFormat="false" ht="15" hidden="false" customHeight="false" outlineLevel="0" collapsed="false">
      <c r="A147" s="13" t="n">
        <v>141</v>
      </c>
      <c r="B147" s="13" t="s">
        <v>1267</v>
      </c>
      <c r="C147" s="13" t="s">
        <v>1289</v>
      </c>
      <c r="D147" s="13" t="n">
        <v>2023</v>
      </c>
      <c r="E147" s="50" t="n">
        <f aca="false">CF!F39</f>
        <v>-2921809524</v>
      </c>
      <c r="F147" s="50" t="n">
        <f aca="false">CF!F48</f>
        <v>-2921809524</v>
      </c>
      <c r="G147" s="102" t="n">
        <f aca="false">IF(COUNT(E147:F147)=2,E147-F147,"")</f>
        <v>0</v>
      </c>
      <c r="H147" s="103" t="n">
        <v>1</v>
      </c>
      <c r="I147" s="4" t="str">
        <f aca="false">IF(COUNT(E147:F147)&lt;2,"N/A",IF(ABS(G147)&lt;=H147,"OK","❌"))</f>
        <v>OK</v>
      </c>
      <c r="J147" s="103" t="s">
        <v>1269</v>
      </c>
      <c r="K147" s="4" t="str">
        <f aca="false">IF(I147=J147,"✔ sesuai","✖ TIDAK sesuai")</f>
        <v>✔ sesuai</v>
      </c>
      <c r="L147" s="104"/>
    </row>
    <row r="148" customFormat="false" ht="15" hidden="false" customHeight="false" outlineLevel="0" collapsed="false">
      <c r="A148" s="13" t="n">
        <v>142</v>
      </c>
      <c r="B148" s="13" t="s">
        <v>1267</v>
      </c>
      <c r="C148" s="13" t="s">
        <v>1290</v>
      </c>
      <c r="D148" s="13" t="n">
        <v>2023</v>
      </c>
      <c r="E148" s="50" t="n">
        <f aca="false">CF!F40</f>
        <v>-7445084642</v>
      </c>
      <c r="F148" s="50" t="n">
        <f aca="false">CF!F49</f>
        <v>-7445084642</v>
      </c>
      <c r="G148" s="102" t="n">
        <f aca="false">IF(COUNT(E148:F148)=2,E148-F148,"")</f>
        <v>0</v>
      </c>
      <c r="H148" s="103" t="n">
        <v>1</v>
      </c>
      <c r="I148" s="4" t="str">
        <f aca="false">IF(COUNT(E148:F148)&lt;2,"N/A",IF(ABS(G148)&lt;=H148,"OK","❌"))</f>
        <v>OK</v>
      </c>
      <c r="J148" s="103" t="s">
        <v>1269</v>
      </c>
      <c r="K148" s="4" t="str">
        <f aca="false">IF(I148=J148,"✔ sesuai","✖ TIDAK sesuai")</f>
        <v>✔ sesuai</v>
      </c>
      <c r="L148" s="104"/>
    </row>
    <row r="149" customFormat="false" ht="15" hidden="false" customHeight="false" outlineLevel="0" collapsed="false">
      <c r="A149" s="13" t="n">
        <v>143</v>
      </c>
      <c r="B149" s="13" t="s">
        <v>1267</v>
      </c>
      <c r="C149" s="13" t="s">
        <v>1291</v>
      </c>
      <c r="D149" s="13" t="n">
        <v>2023</v>
      </c>
      <c r="E149" s="50" t="n">
        <f aca="false">CF!F43</f>
        <v>525762948837</v>
      </c>
      <c r="F149" s="50" t="n">
        <f aca="false">CF!F50</f>
        <v>525762948837</v>
      </c>
      <c r="G149" s="102" t="n">
        <f aca="false">IF(COUNT(E149:F149)=2,E149-F149,"")</f>
        <v>0</v>
      </c>
      <c r="H149" s="103" t="n">
        <v>1</v>
      </c>
      <c r="I149" s="4" t="str">
        <f aca="false">IF(COUNT(E149:F149)&lt;2,"N/A",IF(ABS(G149)&lt;=H149,"OK","❌"))</f>
        <v>OK</v>
      </c>
      <c r="J149" s="103" t="s">
        <v>1269</v>
      </c>
      <c r="K149" s="4" t="str">
        <f aca="false">IF(I149=J149,"✔ sesuai","✖ TIDAK sesuai")</f>
        <v>✔ sesuai</v>
      </c>
      <c r="L149" s="104"/>
    </row>
    <row r="150" customFormat="false" ht="15" hidden="false" customHeight="false" outlineLevel="0" collapsed="false">
      <c r="A150" s="13" t="n">
        <v>144</v>
      </c>
      <c r="B150" s="13" t="s">
        <v>1292</v>
      </c>
      <c r="C150" s="13" t="s">
        <v>1293</v>
      </c>
      <c r="D150" s="13" t="n">
        <v>2023</v>
      </c>
      <c r="E150" s="50" t="n">
        <f aca="false">BS!F21</f>
        <v>4137006257713</v>
      </c>
      <c r="F150" s="50" t="n">
        <f aca="false">BS!F48</f>
        <v>4137006257713</v>
      </c>
      <c r="G150" s="102" t="n">
        <f aca="false">IF(COUNT(E150:F150)=2,E150-F150,"")</f>
        <v>0</v>
      </c>
      <c r="H150" s="103" t="n">
        <v>1</v>
      </c>
      <c r="I150" s="4" t="str">
        <f aca="false">IF(COUNT(E150:F150)&lt;2,"N/A",IF(ABS(G150)&lt;=H150,"OK","❌"))</f>
        <v>OK</v>
      </c>
      <c r="J150" s="103" t="s">
        <v>1269</v>
      </c>
      <c r="K150" s="4" t="str">
        <f aca="false">IF(I150=J150,"✔ sesuai","✖ TIDAK sesuai")</f>
        <v>✔ sesuai</v>
      </c>
      <c r="L150" s="104"/>
    </row>
    <row r="151" customFormat="false" ht="15" hidden="false" customHeight="false" outlineLevel="0" collapsed="false">
      <c r="A151" s="13" t="n">
        <v>145</v>
      </c>
      <c r="B151" s="13" t="s">
        <v>1292</v>
      </c>
      <c r="C151" s="13" t="s">
        <v>1294</v>
      </c>
      <c r="D151" s="13" t="n">
        <v>2023</v>
      </c>
      <c r="E151" s="50" t="n">
        <f aca="false">IS!F17</f>
        <v>-110688861895</v>
      </c>
      <c r="F151" s="50" t="n">
        <f aca="false">IS!F24+IS!F25</f>
        <v>-110688861895</v>
      </c>
      <c r="G151" s="102" t="n">
        <f aca="false">IF(COUNT(E151:F151)=2,E151-F151,"")</f>
        <v>0</v>
      </c>
      <c r="H151" s="103" t="n">
        <v>1</v>
      </c>
      <c r="I151" s="4" t="str">
        <f aca="false">IF(COUNT(E151:F151)&lt;2,"N/A",IF(ABS(G151)&lt;=H151,"OK","❌"))</f>
        <v>OK</v>
      </c>
      <c r="J151" s="103" t="s">
        <v>1269</v>
      </c>
      <c r="K151" s="4" t="str">
        <f aca="false">IF(I151=J151,"✔ sesuai","✖ TIDAK sesuai")</f>
        <v>✔ sesuai</v>
      </c>
      <c r="L151" s="104"/>
    </row>
    <row r="152" customFormat="false" ht="15" hidden="false" customHeight="false" outlineLevel="0" collapsed="false">
      <c r="A152" s="13" t="n">
        <v>146</v>
      </c>
      <c r="B152" s="13" t="s">
        <v>1292</v>
      </c>
      <c r="C152" s="13" t="s">
        <v>1295</v>
      </c>
      <c r="D152" s="13" t="n">
        <v>2023</v>
      </c>
      <c r="E152" s="50" t="n">
        <f aca="false">IS!F22</f>
        <v>-109167794521</v>
      </c>
      <c r="F152" s="50" t="n">
        <f aca="false">IS!F26+IS!F27</f>
        <v>-109167794521</v>
      </c>
      <c r="G152" s="102" t="n">
        <f aca="false">IF(COUNT(E152:F152)=2,E152-F152,"")</f>
        <v>0</v>
      </c>
      <c r="H152" s="103" t="n">
        <v>1</v>
      </c>
      <c r="I152" s="4" t="str">
        <f aca="false">IF(COUNT(E152:F152)&lt;2,"N/A",IF(ABS(G152)&lt;=H152,"OK","❌"))</f>
        <v>OK</v>
      </c>
      <c r="J152" s="103" t="s">
        <v>1269</v>
      </c>
      <c r="K152" s="4" t="str">
        <f aca="false">IF(I152=J152,"✔ sesuai","✖ TIDAK sesuai")</f>
        <v>✔ sesuai</v>
      </c>
      <c r="L152" s="104"/>
    </row>
    <row r="153" customFormat="false" ht="15" hidden="false" customHeight="false" outlineLevel="0" collapsed="false">
      <c r="A153" s="13" t="n">
        <v>147</v>
      </c>
      <c r="B153" s="13" t="s">
        <v>1292</v>
      </c>
      <c r="C153" s="13" t="s">
        <v>1296</v>
      </c>
      <c r="D153" s="13" t="n">
        <v>2023</v>
      </c>
      <c r="E153" s="50" t="n">
        <f aca="false">CF!F43</f>
        <v>525762948837</v>
      </c>
      <c r="F153" s="50" t="n">
        <f aca="false">BS!F6</f>
        <v>525762948837</v>
      </c>
      <c r="G153" s="102" t="n">
        <f aca="false">IF(COUNT(E153:F153)=2,E153-F153,"")</f>
        <v>0</v>
      </c>
      <c r="H153" s="103" t="n">
        <v>1</v>
      </c>
      <c r="I153" s="4" t="str">
        <f aca="false">IF(COUNT(E153:F153)&lt;2,"N/A",IF(ABS(G153)&lt;=H153,"OK","❌"))</f>
        <v>OK</v>
      </c>
      <c r="J153" s="103" t="s">
        <v>1269</v>
      </c>
      <c r="K153" s="4" t="str">
        <f aca="false">IF(I153=J153,"✔ sesuai","✖ TIDAK sesuai")</f>
        <v>✔ sesuai</v>
      </c>
      <c r="L153" s="104"/>
    </row>
    <row r="154" customFormat="false" ht="15" hidden="false" customHeight="false" outlineLevel="0" collapsed="false">
      <c r="A154" s="13" t="n">
        <v>148</v>
      </c>
      <c r="B154" s="13" t="s">
        <v>1292</v>
      </c>
      <c r="C154" s="13" t="s">
        <v>1297</v>
      </c>
      <c r="D154" s="13" t="n">
        <v>2023</v>
      </c>
      <c r="E154" s="61" t="n">
        <v>0</v>
      </c>
      <c r="F154" s="50" t="n">
        <f aca="false">CF!F38</f>
        <v>0</v>
      </c>
      <c r="G154" s="102" t="n">
        <f aca="false">IF(COUNT(E154:F154)=2,E154-F154,"")</f>
        <v>0</v>
      </c>
      <c r="H154" s="103" t="n">
        <v>1</v>
      </c>
      <c r="I154" s="4" t="str">
        <f aca="false">IF(COUNT(E154:F154)&lt;2,"N/A",IF(ABS(G154)&lt;=H154,"OK","❌"))</f>
        <v>OK</v>
      </c>
      <c r="J154" s="103" t="s">
        <v>1269</v>
      </c>
      <c r="K154" s="4" t="str">
        <f aca="false">IF(I154=J154,"✔ sesuai","✖ TIDAK sesuai")</f>
        <v>✔ sesuai</v>
      </c>
      <c r="L154" s="104" t="s">
        <v>1298</v>
      </c>
    </row>
    <row r="155" customFormat="false" ht="15" hidden="false" customHeight="false" outlineLevel="0" collapsed="false">
      <c r="A155" s="13" t="n">
        <v>149</v>
      </c>
      <c r="B155" s="13" t="s">
        <v>1306</v>
      </c>
      <c r="C155" s="13" t="s">
        <v>1307</v>
      </c>
      <c r="D155" s="13" t="n">
        <v>2023</v>
      </c>
      <c r="E155" s="50" t="n">
        <f aca="false">CF!F41</f>
        <v>533208033479</v>
      </c>
      <c r="F155" s="50" t="n">
        <f aca="false">BS!E6</f>
        <v>533208033479</v>
      </c>
      <c r="G155" s="102" t="n">
        <f aca="false">IF(COUNT(E155:F155)=2,E155-F155,"")</f>
        <v>0</v>
      </c>
      <c r="H155" s="103" t="n">
        <v>1</v>
      </c>
      <c r="I155" s="4" t="str">
        <f aca="false">IF(COUNT(E155:F155)&lt;2,"N/A",IF(ABS(G155)&lt;=H155,"OK","❌"))</f>
        <v>OK</v>
      </c>
      <c r="J155" s="103" t="s">
        <v>1269</v>
      </c>
      <c r="K155" s="4" t="str">
        <f aca="false">IF(I155=J155,"✔ sesuai","✖ TIDAK sesuai")</f>
        <v>✔ sesuai</v>
      </c>
      <c r="L155" s="104"/>
    </row>
    <row r="156" customFormat="false" ht="15" hidden="false" customHeight="false" outlineLevel="0" collapsed="false">
      <c r="A156" s="13" t="n">
        <v>150</v>
      </c>
      <c r="B156" s="13" t="s">
        <v>1306</v>
      </c>
      <c r="C156" s="13" t="s">
        <v>1308</v>
      </c>
      <c r="D156" s="13" t="n">
        <v>2023</v>
      </c>
      <c r="E156" s="50" t="n">
        <f aca="false">BS!E44+-109408572601+CF!F38+0</f>
        <v>-231784665472</v>
      </c>
      <c r="F156" s="50" t="n">
        <f aca="false">BS!F44</f>
        <v>-231784665472</v>
      </c>
      <c r="G156" s="102" t="n">
        <f aca="false">IF(COUNT(E156:F156)=2,E156-F156,"")</f>
        <v>0</v>
      </c>
      <c r="H156" s="103" t="n">
        <v>1</v>
      </c>
      <c r="I156" s="4" t="str">
        <f aca="false">IF(COUNT(E156:F156)&lt;2,"N/A",IF(ABS(G156)&lt;=H156,"OK","❌"))</f>
        <v>OK</v>
      </c>
      <c r="J156" s="103" t="s">
        <v>1269</v>
      </c>
      <c r="K156" s="4" t="str">
        <f aca="false">IF(I156=J156,"✔ sesuai","✖ TIDAK sesuai")</f>
        <v>✔ sesuai</v>
      </c>
      <c r="L156" s="104" t="s">
        <v>1309</v>
      </c>
    </row>
    <row r="157" customFormat="false" ht="15" hidden="false" customHeight="false" outlineLevel="0" collapsed="false">
      <c r="A157" s="13" t="n">
        <v>151</v>
      </c>
      <c r="B157" s="13" t="s">
        <v>1306</v>
      </c>
      <c r="C157" s="13" t="s">
        <v>1329</v>
      </c>
      <c r="D157" s="13" t="n">
        <v>2023</v>
      </c>
      <c r="E157" s="50" t="n">
        <f aca="false">Schedules!F29</f>
        <v>3467630763681</v>
      </c>
      <c r="F157" s="50" t="n">
        <f aca="false">Schedules!E34</f>
        <v>3467630763681</v>
      </c>
      <c r="G157" s="102" t="n">
        <f aca="false">IF(COUNT(E157:F157)=2,E157-F157,"")</f>
        <v>0</v>
      </c>
      <c r="H157" s="103" t="n">
        <v>1</v>
      </c>
      <c r="I157" s="4" t="str">
        <f aca="false">IF(COUNT(E157:F157)&lt;2,"N/A",IF(ABS(G157)&lt;=H157,"OK","❌"))</f>
        <v>OK</v>
      </c>
      <c r="J157" s="103" t="s">
        <v>1269</v>
      </c>
      <c r="K157" s="4" t="str">
        <f aca="false">IF(I157=J157,"✔ sesuai","✖ TIDAK sesuai")</f>
        <v>✔ sesuai</v>
      </c>
      <c r="L157" s="104"/>
    </row>
    <row r="158" customFormat="false" ht="15" hidden="false" customHeight="false" outlineLevel="0" collapsed="false">
      <c r="A158" s="13" t="n">
        <v>152</v>
      </c>
      <c r="B158" s="13" t="s">
        <v>1306</v>
      </c>
      <c r="C158" s="13" t="s">
        <v>1330</v>
      </c>
      <c r="D158" s="13" t="n">
        <v>2023</v>
      </c>
      <c r="E158" s="50" t="n">
        <f aca="false">Schedules!F37</f>
        <v>130276551957</v>
      </c>
      <c r="F158" s="50" t="n">
        <f aca="false">Schedules!E42</f>
        <v>130276551957</v>
      </c>
      <c r="G158" s="102" t="n">
        <f aca="false">IF(COUNT(E158:F158)=2,E158-F158,"")</f>
        <v>0</v>
      </c>
      <c r="H158" s="103" t="n">
        <v>1</v>
      </c>
      <c r="I158" s="4" t="str">
        <f aca="false">IF(COUNT(E158:F158)&lt;2,"N/A",IF(ABS(G158)&lt;=H158,"OK","❌"))</f>
        <v>OK</v>
      </c>
      <c r="J158" s="103" t="s">
        <v>1269</v>
      </c>
      <c r="K158" s="4" t="str">
        <f aca="false">IF(I158=J158,"✔ sesuai","✖ TIDAK sesuai")</f>
        <v>✔ sesuai</v>
      </c>
      <c r="L158" s="104"/>
    </row>
    <row r="159" customFormat="false" ht="15" hidden="false" customHeight="false" outlineLevel="0" collapsed="false">
      <c r="A159" s="13" t="n">
        <v>153</v>
      </c>
      <c r="B159" s="13" t="s">
        <v>1299</v>
      </c>
      <c r="C159" s="13" t="s">
        <v>1310</v>
      </c>
      <c r="D159" s="13" t="n">
        <v>2023</v>
      </c>
      <c r="E159" s="50" t="n">
        <f aca="false">Schedules!F10</f>
        <v>242680799183</v>
      </c>
      <c r="F159" s="50" t="n">
        <f aca="false">IS!F6</f>
        <v>242680799183</v>
      </c>
      <c r="G159" s="102" t="n">
        <f aca="false">IF(COUNT(E159:F159)=2,E159-F159,"")</f>
        <v>0</v>
      </c>
      <c r="H159" s="103" t="n">
        <v>1</v>
      </c>
      <c r="I159" s="4" t="str">
        <f aca="false">IF(COUNT(E159:F159)&lt;2,"N/A",IF(ABS(G159)&lt;=H159,"OK","❌"))</f>
        <v>OK</v>
      </c>
      <c r="J159" s="103" t="s">
        <v>1269</v>
      </c>
      <c r="K159" s="4" t="str">
        <f aca="false">IF(I159=J159,"✔ sesuai","✖ TIDAK sesuai")</f>
        <v>✔ sesuai</v>
      </c>
      <c r="L159" s="104"/>
    </row>
    <row r="160" customFormat="false" ht="15" hidden="false" customHeight="false" outlineLevel="0" collapsed="false">
      <c r="A160" s="13" t="n">
        <v>154</v>
      </c>
      <c r="B160" s="13" t="s">
        <v>1299</v>
      </c>
      <c r="C160" s="13" t="s">
        <v>1311</v>
      </c>
      <c r="D160" s="13" t="n">
        <v>2023</v>
      </c>
      <c r="E160" s="50" t="n">
        <f aca="false">Schedules!F62</f>
        <v>242680799183</v>
      </c>
      <c r="F160" s="50" t="n">
        <f aca="false">IS!F6</f>
        <v>242680799183</v>
      </c>
      <c r="G160" s="102" t="n">
        <f aca="false">IF(COUNT(E160:F160)=2,E160-F160,"")</f>
        <v>0</v>
      </c>
      <c r="H160" s="103" t="n">
        <v>1</v>
      </c>
      <c r="I160" s="4" t="str">
        <f aca="false">IF(COUNT(E160:F160)&lt;2,"N/A",IF(ABS(G160)&lt;=H160,"OK","❌"))</f>
        <v>OK</v>
      </c>
      <c r="J160" s="103" t="s">
        <v>1269</v>
      </c>
      <c r="K160" s="4" t="str">
        <f aca="false">IF(I160=J160,"✔ sesuai","✖ TIDAK sesuai")</f>
        <v>✔ sesuai</v>
      </c>
      <c r="L160" s="104"/>
    </row>
    <row r="161" customFormat="false" ht="15" hidden="false" customHeight="false" outlineLevel="0" collapsed="false">
      <c r="A161" s="13" t="n">
        <v>155</v>
      </c>
      <c r="B161" s="13" t="s">
        <v>1299</v>
      </c>
      <c r="C161" s="13" t="s">
        <v>1312</v>
      </c>
      <c r="D161" s="13" t="n">
        <v>2023</v>
      </c>
      <c r="E161" s="50" t="n">
        <f aca="false">Schedules!F76</f>
        <v>153026530241</v>
      </c>
      <c r="F161" s="50" t="n">
        <f aca="false">-IS!F7</f>
        <v>153026530241</v>
      </c>
      <c r="G161" s="102" t="n">
        <f aca="false">IF(COUNT(E161:F161)=2,E161-F161,"")</f>
        <v>0</v>
      </c>
      <c r="H161" s="103" t="n">
        <v>1</v>
      </c>
      <c r="I161" s="4" t="str">
        <f aca="false">IF(COUNT(E161:F161)&lt;2,"N/A",IF(ABS(G161)&lt;=H161,"OK","❌"))</f>
        <v>OK</v>
      </c>
      <c r="J161" s="103" t="s">
        <v>1269</v>
      </c>
      <c r="K161" s="4" t="str">
        <f aca="false">IF(I161=J161,"✔ sesuai","✖ TIDAK sesuai")</f>
        <v>✔ sesuai</v>
      </c>
      <c r="L161" s="104"/>
    </row>
    <row r="162" customFormat="false" ht="15" hidden="false" customHeight="false" outlineLevel="0" collapsed="false">
      <c r="A162" s="13" t="n">
        <v>156</v>
      </c>
      <c r="B162" s="13" t="s">
        <v>1299</v>
      </c>
      <c r="C162" s="13" t="s">
        <v>1313</v>
      </c>
      <c r="D162" s="13" t="n">
        <v>2023</v>
      </c>
      <c r="E162" s="50" t="n">
        <f aca="false">Schedules!F99</f>
        <v>125793052442</v>
      </c>
      <c r="F162" s="50" t="n">
        <f aca="false">-IS!F9</f>
        <v>125793052442</v>
      </c>
      <c r="G162" s="102" t="n">
        <f aca="false">IF(COUNT(E162:F162)=2,E162-F162,"")</f>
        <v>0</v>
      </c>
      <c r="H162" s="103" t="n">
        <v>1</v>
      </c>
      <c r="I162" s="4" t="str">
        <f aca="false">IF(COUNT(E162:F162)&lt;2,"N/A",IF(ABS(G162)&lt;=H162,"OK","❌"))</f>
        <v>OK</v>
      </c>
      <c r="J162" s="103" t="s">
        <v>1269</v>
      </c>
      <c r="K162" s="4" t="str">
        <f aca="false">IF(I162=J162,"✔ sesuai","✖ TIDAK sesuai")</f>
        <v>✔ sesuai</v>
      </c>
      <c r="L162" s="104"/>
    </row>
    <row r="163" customFormat="false" ht="15" hidden="false" customHeight="false" outlineLevel="0" collapsed="false">
      <c r="A163" s="13" t="n">
        <v>157</v>
      </c>
      <c r="B163" s="13" t="s">
        <v>1299</v>
      </c>
      <c r="C163" s="13" t="s">
        <v>1314</v>
      </c>
      <c r="D163" s="13" t="n">
        <v>2023</v>
      </c>
      <c r="E163" s="50" t="n">
        <f aca="false">Schedules!F108</f>
        <v>6623274915</v>
      </c>
      <c r="F163" s="50" t="n">
        <f aca="false">IS!F13</f>
        <v>6623274915</v>
      </c>
      <c r="G163" s="102" t="n">
        <f aca="false">IF(COUNT(E163:F163)=2,E163-F163,"")</f>
        <v>0</v>
      </c>
      <c r="H163" s="103" t="n">
        <v>1</v>
      </c>
      <c r="I163" s="4" t="str">
        <f aca="false">IF(COUNT(E163:F163)&lt;2,"N/A",IF(ABS(G163)&lt;=H163,"OK","❌"))</f>
        <v>OK</v>
      </c>
      <c r="J163" s="103" t="s">
        <v>1269</v>
      </c>
      <c r="K163" s="4" t="str">
        <f aca="false">IF(I163=J163,"✔ sesuai","✖ TIDAK sesuai")</f>
        <v>✔ sesuai</v>
      </c>
      <c r="L163" s="104"/>
    </row>
    <row r="164" customFormat="false" ht="15" hidden="false" customHeight="false" outlineLevel="0" collapsed="false">
      <c r="A164" s="13" t="n">
        <v>158</v>
      </c>
      <c r="B164" s="13" t="s">
        <v>1299</v>
      </c>
      <c r="C164" s="13" t="s">
        <v>1315</v>
      </c>
      <c r="D164" s="13" t="n">
        <v>2023</v>
      </c>
      <c r="E164" s="50" t="n">
        <f aca="false">Schedules!F117</f>
        <v>76857656488</v>
      </c>
      <c r="F164" s="50" t="n">
        <f aca="false">-IS!F14</f>
        <v>76857656488</v>
      </c>
      <c r="G164" s="102" t="n">
        <f aca="false">IF(COUNT(E164:F164)=2,E164-F164,"")</f>
        <v>0</v>
      </c>
      <c r="H164" s="103" t="n">
        <v>1</v>
      </c>
      <c r="I164" s="4" t="str">
        <f aca="false">IF(COUNT(E164:F164)&lt;2,"N/A",IF(ABS(G164)&lt;=H164,"OK","❌"))</f>
        <v>OK</v>
      </c>
      <c r="J164" s="103" t="s">
        <v>1269</v>
      </c>
      <c r="K164" s="4" t="str">
        <f aca="false">IF(I164=J164,"✔ sesuai","✖ TIDAK sesuai")</f>
        <v>✔ sesuai</v>
      </c>
      <c r="L164" s="104"/>
    </row>
    <row r="165" customFormat="false" ht="15" hidden="false" customHeight="false" outlineLevel="0" collapsed="false">
      <c r="A165" s="13" t="n">
        <v>159</v>
      </c>
      <c r="B165" s="13" t="s">
        <v>1299</v>
      </c>
      <c r="C165" s="13" t="s">
        <v>1316</v>
      </c>
      <c r="D165" s="13" t="n">
        <v>2023</v>
      </c>
      <c r="E165" s="50" t="n">
        <f aca="false">Schedules!F123</f>
        <v>250325287</v>
      </c>
      <c r="F165" s="50" t="n">
        <f aca="false">IS!F11</f>
        <v>250325287</v>
      </c>
      <c r="G165" s="102" t="n">
        <f aca="false">IF(COUNT(E165:F165)=2,E165-F165,"")</f>
        <v>0</v>
      </c>
      <c r="H165" s="103" t="n">
        <v>1</v>
      </c>
      <c r="I165" s="4" t="str">
        <f aca="false">IF(COUNT(E165:F165)&lt;2,"N/A",IF(ABS(G165)&lt;=H165,"OK","❌"))</f>
        <v>OK</v>
      </c>
      <c r="J165" s="103" t="s">
        <v>1269</v>
      </c>
      <c r="K165" s="4" t="str">
        <f aca="false">IF(I165=J165,"✔ sesuai","✖ TIDAK sesuai")</f>
        <v>✔ sesuai</v>
      </c>
      <c r="L165" s="104"/>
    </row>
    <row r="166" customFormat="false" ht="15" hidden="false" customHeight="false" outlineLevel="0" collapsed="false">
      <c r="A166" s="13" t="n">
        <v>160</v>
      </c>
      <c r="B166" s="13" t="s">
        <v>1299</v>
      </c>
      <c r="C166" s="13" t="s">
        <v>1317</v>
      </c>
      <c r="D166" s="13" t="n">
        <v>2023</v>
      </c>
      <c r="E166" s="50" t="n">
        <f aca="false">Schedules!F44</f>
        <v>3330399614118</v>
      </c>
      <c r="F166" s="50" t="n">
        <f aca="false">BS!F16</f>
        <v>3330399614118</v>
      </c>
      <c r="G166" s="102" t="n">
        <f aca="false">IF(COUNT(E166:F166)=2,E166-F166,"")</f>
        <v>0</v>
      </c>
      <c r="H166" s="103" t="n">
        <v>1</v>
      </c>
      <c r="I166" s="4" t="str">
        <f aca="false">IF(COUNT(E166:F166)&lt;2,"N/A",IF(ABS(G166)&lt;=H166,"OK","❌"))</f>
        <v>OK</v>
      </c>
      <c r="J166" s="103" t="s">
        <v>1269</v>
      </c>
      <c r="K166" s="4" t="str">
        <f aca="false">IF(I166=J166,"✔ sesuai","✖ TIDAK sesuai")</f>
        <v>✔ sesuai</v>
      </c>
      <c r="L166" s="104"/>
    </row>
    <row r="167" customFormat="false" ht="15" hidden="false" customHeight="false" outlineLevel="0" collapsed="false">
      <c r="A167" s="13" t="n">
        <v>161</v>
      </c>
      <c r="B167" s="13" t="s">
        <v>1318</v>
      </c>
      <c r="C167" s="13" t="s">
        <v>1319</v>
      </c>
      <c r="D167" s="13" t="n">
        <v>2023</v>
      </c>
      <c r="E167" s="50" t="n">
        <f aca="false">Schedules!F14</f>
        <v>21584974350</v>
      </c>
      <c r="F167" s="50" t="n">
        <f aca="false">Schedules!F15</f>
        <v>21584974350</v>
      </c>
      <c r="G167" s="102" t="n">
        <f aca="false">IF(COUNT(E167:F167)=2,E167-F167,"")</f>
        <v>0</v>
      </c>
      <c r="H167" s="103" t="n">
        <v>1</v>
      </c>
      <c r="I167" s="4" t="str">
        <f aca="false">IF(COUNT(E167:F167)&lt;2,"N/A",IF(ABS(G167)&lt;=H167,"OK","❌"))</f>
        <v>OK</v>
      </c>
      <c r="J167" s="103" t="s">
        <v>1269</v>
      </c>
      <c r="K167" s="4" t="str">
        <f aca="false">IF(I167=J167,"✔ sesuai","✖ TIDAK sesuai")</f>
        <v>✔ sesuai</v>
      </c>
      <c r="L167" s="104"/>
    </row>
    <row r="168" customFormat="false" ht="15" hidden="false" customHeight="false" outlineLevel="0" collapsed="false">
      <c r="A168" s="13" t="n">
        <v>162</v>
      </c>
      <c r="B168" s="13" t="s">
        <v>1318</v>
      </c>
      <c r="C168" s="13" t="s">
        <v>1320</v>
      </c>
      <c r="D168" s="13" t="n">
        <v>2023</v>
      </c>
      <c r="E168" s="50" t="n">
        <f aca="false">Schedules!F35</f>
        <v>3482029090425</v>
      </c>
      <c r="F168" s="50" t="n">
        <f aca="false">Schedules!F34</f>
        <v>3482029090425</v>
      </c>
      <c r="G168" s="102" t="n">
        <f aca="false">IF(COUNT(E168:F168)=2,E168-F168,"")</f>
        <v>0</v>
      </c>
      <c r="H168" s="103" t="n">
        <v>1</v>
      </c>
      <c r="I168" s="4" t="str">
        <f aca="false">IF(COUNT(E168:F168)&lt;2,"N/A",IF(ABS(G168)&lt;=H168,"OK","❌"))</f>
        <v>OK</v>
      </c>
      <c r="J168" s="103" t="s">
        <v>1269</v>
      </c>
      <c r="K168" s="4" t="str">
        <f aca="false">IF(I168=J168,"✔ sesuai","✖ TIDAK sesuai")</f>
        <v>✔ sesuai</v>
      </c>
      <c r="L168" s="104"/>
    </row>
    <row r="169" customFormat="false" ht="15" hidden="false" customHeight="false" outlineLevel="0" collapsed="false">
      <c r="A169" s="13" t="n">
        <v>163</v>
      </c>
      <c r="B169" s="13" t="s">
        <v>1318</v>
      </c>
      <c r="C169" s="13" t="s">
        <v>1321</v>
      </c>
      <c r="D169" s="13" t="n">
        <v>2023</v>
      </c>
      <c r="E169" s="50" t="n">
        <f aca="false">Schedules!F43</f>
        <v>151629476307</v>
      </c>
      <c r="F169" s="50" t="n">
        <f aca="false">Schedules!F42</f>
        <v>151629476307</v>
      </c>
      <c r="G169" s="102" t="n">
        <f aca="false">IF(COUNT(E169:F169)=2,E169-F169,"")</f>
        <v>0</v>
      </c>
      <c r="H169" s="103" t="n">
        <v>1</v>
      </c>
      <c r="I169" s="4" t="str">
        <f aca="false">IF(COUNT(E169:F169)&lt;2,"N/A",IF(ABS(G169)&lt;=H169,"OK","❌"))</f>
        <v>OK</v>
      </c>
      <c r="J169" s="103" t="s">
        <v>1269</v>
      </c>
      <c r="K169" s="4" t="str">
        <f aca="false">IF(I169=J169,"✔ sesuai","✖ TIDAK sesuai")</f>
        <v>✔ sesuai</v>
      </c>
      <c r="L169" s="104"/>
    </row>
    <row r="170" customFormat="false" ht="15" hidden="false" customHeight="false" outlineLevel="0" collapsed="false">
      <c r="A170" s="13" t="n">
        <v>164</v>
      </c>
      <c r="B170" s="13" t="s">
        <v>1318</v>
      </c>
      <c r="C170" s="13" t="s">
        <v>1322</v>
      </c>
      <c r="D170" s="13" t="n">
        <v>2023</v>
      </c>
      <c r="E170" s="50" t="n">
        <f aca="false">Schedules!F65</f>
        <v>242680799183</v>
      </c>
      <c r="F170" s="50" t="n">
        <f aca="false">Schedules!F62</f>
        <v>242680799183</v>
      </c>
      <c r="G170" s="102" t="n">
        <f aca="false">IF(COUNT(E170:F170)=2,E170-F170,"")</f>
        <v>0</v>
      </c>
      <c r="H170" s="103" t="n">
        <v>1</v>
      </c>
      <c r="I170" s="4" t="str">
        <f aca="false">IF(COUNT(E170:F170)&lt;2,"N/A",IF(ABS(G170)&lt;=H170,"OK","❌"))</f>
        <v>OK</v>
      </c>
      <c r="J170" s="103" t="s">
        <v>1269</v>
      </c>
      <c r="K170" s="4" t="str">
        <f aca="false">IF(I170=J170,"✔ sesuai","✖ TIDAK sesuai")</f>
        <v>✔ sesuai</v>
      </c>
      <c r="L170" s="104"/>
    </row>
    <row r="171" customFormat="false" ht="15" hidden="false" customHeight="false" outlineLevel="0" collapsed="false">
      <c r="A171" s="13" t="n">
        <v>165</v>
      </c>
      <c r="B171" s="13" t="s">
        <v>1318</v>
      </c>
      <c r="C171" s="13" t="s">
        <v>1323</v>
      </c>
      <c r="D171" s="13" t="n">
        <v>2023</v>
      </c>
      <c r="E171" s="50" t="n">
        <f aca="false">Schedules!F80</f>
        <v>153026530241</v>
      </c>
      <c r="F171" s="50" t="n">
        <f aca="false">Schedules!F76</f>
        <v>153026530241</v>
      </c>
      <c r="G171" s="102" t="n">
        <f aca="false">IF(COUNT(E171:F171)=2,E171-F171,"")</f>
        <v>0</v>
      </c>
      <c r="H171" s="103" t="n">
        <v>1</v>
      </c>
      <c r="I171" s="4" t="str">
        <f aca="false">IF(COUNT(E171:F171)&lt;2,"N/A",IF(ABS(G171)&lt;=H171,"OK","❌"))</f>
        <v>OK</v>
      </c>
      <c r="J171" s="103" t="s">
        <v>1269</v>
      </c>
      <c r="K171" s="4" t="str">
        <f aca="false">IF(I171=J171,"✔ sesuai","✖ TIDAK sesuai")</f>
        <v>✔ sesuai</v>
      </c>
      <c r="L171" s="104"/>
    </row>
    <row r="172" customFormat="false" ht="15" hidden="false" customHeight="false" outlineLevel="0" collapsed="false">
      <c r="A172" s="13" t="n">
        <v>166</v>
      </c>
      <c r="B172" s="13" t="s">
        <v>1318</v>
      </c>
      <c r="C172" s="13" t="s">
        <v>1324</v>
      </c>
      <c r="D172" s="13" t="n">
        <v>2023</v>
      </c>
      <c r="E172" s="50" t="n">
        <f aca="false">Schedules!F103</f>
        <v>125793052442</v>
      </c>
      <c r="F172" s="50" t="n">
        <f aca="false">Schedules!F99</f>
        <v>125793052442</v>
      </c>
      <c r="G172" s="102" t="n">
        <f aca="false">IF(COUNT(E172:F172)=2,E172-F172,"")</f>
        <v>0</v>
      </c>
      <c r="H172" s="103" t="n">
        <v>1</v>
      </c>
      <c r="I172" s="4" t="str">
        <f aca="false">IF(COUNT(E172:F172)&lt;2,"N/A",IF(ABS(G172)&lt;=H172,"OK","❌"))</f>
        <v>OK</v>
      </c>
      <c r="J172" s="103" t="s">
        <v>1269</v>
      </c>
      <c r="K172" s="4" t="str">
        <f aca="false">IF(I172=J172,"✔ sesuai","✖ TIDAK sesuai")</f>
        <v>✔ sesuai</v>
      </c>
      <c r="L172" s="104"/>
    </row>
    <row r="173" customFormat="false" ht="15" hidden="false" customHeight="false" outlineLevel="0" collapsed="false">
      <c r="A173" s="13" t="n">
        <v>167</v>
      </c>
      <c r="B173" s="13" t="s">
        <v>1318</v>
      </c>
      <c r="C173" s="13" t="s">
        <v>1325</v>
      </c>
      <c r="D173" s="13" t="n">
        <v>2023</v>
      </c>
      <c r="E173" s="50" t="n">
        <f aca="false">Schedules!F110</f>
        <v>6623274915</v>
      </c>
      <c r="F173" s="50" t="n">
        <f aca="false">Schedules!F108</f>
        <v>6623274915</v>
      </c>
      <c r="G173" s="102" t="n">
        <f aca="false">IF(COUNT(E173:F173)=2,E173-F173,"")</f>
        <v>0</v>
      </c>
      <c r="H173" s="103" t="n">
        <v>1</v>
      </c>
      <c r="I173" s="4" t="str">
        <f aca="false">IF(COUNT(E173:F173)&lt;2,"N/A",IF(ABS(G173)&lt;=H173,"OK","❌"))</f>
        <v>OK</v>
      </c>
      <c r="J173" s="103" t="s">
        <v>1269</v>
      </c>
      <c r="K173" s="4" t="str">
        <f aca="false">IF(I173=J173,"✔ sesuai","✖ TIDAK sesuai")</f>
        <v>✔ sesuai</v>
      </c>
      <c r="L173" s="104"/>
    </row>
    <row r="174" customFormat="false" ht="15" hidden="false" customHeight="false" outlineLevel="0" collapsed="false">
      <c r="A174" s="13" t="n">
        <v>168</v>
      </c>
      <c r="B174" s="13" t="s">
        <v>1318</v>
      </c>
      <c r="C174" s="13" t="s">
        <v>1326</v>
      </c>
      <c r="D174" s="13" t="n">
        <v>2023</v>
      </c>
      <c r="E174" s="50" t="n">
        <f aca="false">Schedules!F118</f>
        <v>76857656488</v>
      </c>
      <c r="F174" s="50" t="n">
        <f aca="false">Schedules!F117</f>
        <v>76857656488</v>
      </c>
      <c r="G174" s="102" t="n">
        <f aca="false">IF(COUNT(E174:F174)=2,E174-F174,"")</f>
        <v>0</v>
      </c>
      <c r="H174" s="103" t="n">
        <v>1</v>
      </c>
      <c r="I174" s="4" t="str">
        <f aca="false">IF(COUNT(E174:F174)&lt;2,"N/A",IF(ABS(G174)&lt;=H174,"OK","❌"))</f>
        <v>OK</v>
      </c>
      <c r="J174" s="103" t="s">
        <v>1269</v>
      </c>
      <c r="K174" s="4" t="str">
        <f aca="false">IF(I174=J174,"✔ sesuai","✖ TIDAK sesuai")</f>
        <v>✔ sesuai</v>
      </c>
      <c r="L174" s="104"/>
    </row>
    <row r="175" customFormat="false" ht="15" hidden="false" customHeight="false" outlineLevel="0" collapsed="false">
      <c r="A175" s="13" t="n">
        <v>169</v>
      </c>
      <c r="B175" s="13" t="s">
        <v>1318</v>
      </c>
      <c r="C175" s="13" t="s">
        <v>1327</v>
      </c>
      <c r="D175" s="13" t="n">
        <v>2023</v>
      </c>
      <c r="E175" s="50" t="n">
        <f aca="false">Schedules!F130</f>
        <v>250325287</v>
      </c>
      <c r="F175" s="50" t="n">
        <f aca="false">Schedules!F123</f>
        <v>250325287</v>
      </c>
      <c r="G175" s="102" t="n">
        <f aca="false">IF(COUNT(E175:F175)=2,E175-F175,"")</f>
        <v>0</v>
      </c>
      <c r="H175" s="103" t="n">
        <v>1</v>
      </c>
      <c r="I175" s="4" t="str">
        <f aca="false">IF(COUNT(E175:F175)&lt;2,"N/A",IF(ABS(G175)&lt;=H175,"OK","❌"))</f>
        <v>OK</v>
      </c>
      <c r="J175" s="103" t="s">
        <v>1269</v>
      </c>
      <c r="K175" s="4" t="str">
        <f aca="false">IF(I175=J175,"✔ sesuai","✖ TIDAK sesuai")</f>
        <v>✔ sesuai</v>
      </c>
      <c r="L175" s="104"/>
    </row>
    <row r="176" customFormat="false" ht="15" hidden="false" customHeight="false" outlineLevel="0" collapsed="false">
      <c r="A176" s="13" t="n">
        <v>170</v>
      </c>
      <c r="B176" s="13" t="s">
        <v>1302</v>
      </c>
      <c r="C176" s="13" t="s">
        <v>1328</v>
      </c>
      <c r="D176" s="13" t="n">
        <v>2023</v>
      </c>
      <c r="E176" s="50" t="n">
        <f aca="false">IS!F28</f>
        <v>-3.34</v>
      </c>
      <c r="F176" s="50" t="n">
        <f aca="false">ROUND(IS!F24/Schedules!F20,2)</f>
        <v>-3.34</v>
      </c>
      <c r="G176" s="102" t="n">
        <f aca="false">IF(COUNT(E176:F176)=2,E176-F176,"")</f>
        <v>0</v>
      </c>
      <c r="H176" s="103" t="n">
        <v>1</v>
      </c>
      <c r="I176" s="4" t="str">
        <f aca="false">IF(COUNT(E176:F176)&lt;2,"N/A",IF(ABS(G176)&lt;=H176,"OK","❌"))</f>
        <v>OK</v>
      </c>
      <c r="J176" s="103" t="s">
        <v>1269</v>
      </c>
      <c r="K176" s="4" t="str">
        <f aca="false">IF(I176=J176,"✔ sesuai","✖ TIDAK sesuai")</f>
        <v>✔ sesuai</v>
      </c>
      <c r="L176" s="104"/>
    </row>
    <row r="177" customFormat="false" ht="15" hidden="false" customHeight="false" outlineLevel="0" collapsed="false">
      <c r="A177" s="13" t="n">
        <v>171</v>
      </c>
      <c r="B177" s="13" t="s">
        <v>1267</v>
      </c>
      <c r="C177" s="13" t="s">
        <v>1268</v>
      </c>
      <c r="D177" s="13" t="n">
        <v>2024</v>
      </c>
      <c r="E177" s="50" t="n">
        <f aca="false">IS!G8</f>
        <v>104587714159</v>
      </c>
      <c r="F177" s="50" t="n">
        <f aca="false">IS!G34</f>
        <v>104587714159</v>
      </c>
      <c r="G177" s="102" t="n">
        <f aca="false">IF(COUNT(E177:F177)=2,E177-F177,"")</f>
        <v>0</v>
      </c>
      <c r="H177" s="103" t="n">
        <v>1</v>
      </c>
      <c r="I177" s="4" t="str">
        <f aca="false">IF(COUNT(E177:F177)&lt;2,"N/A",IF(ABS(G177)&lt;=H177,"OK","❌"))</f>
        <v>OK</v>
      </c>
      <c r="J177" s="103" t="s">
        <v>1269</v>
      </c>
      <c r="K177" s="4" t="str">
        <f aca="false">IF(I177=J177,"✔ sesuai","✖ TIDAK sesuai")</f>
        <v>✔ sesuai</v>
      </c>
      <c r="L177" s="104"/>
    </row>
    <row r="178" customFormat="false" ht="15" hidden="false" customHeight="false" outlineLevel="0" collapsed="false">
      <c r="A178" s="13" t="n">
        <v>172</v>
      </c>
      <c r="B178" s="13" t="s">
        <v>1267</v>
      </c>
      <c r="C178" s="13" t="s">
        <v>1270</v>
      </c>
      <c r="D178" s="13" t="n">
        <v>2024</v>
      </c>
      <c r="E178" s="50" t="n">
        <f aca="false">IS!G10</f>
        <v>-29927626610</v>
      </c>
      <c r="F178" s="50" t="n">
        <f aca="false">IS!G35</f>
        <v>-29927626610</v>
      </c>
      <c r="G178" s="102" t="n">
        <f aca="false">IF(COUNT(E178:F178)=2,E178-F178,"")</f>
        <v>0</v>
      </c>
      <c r="H178" s="103" t="n">
        <v>1</v>
      </c>
      <c r="I178" s="4" t="str">
        <f aca="false">IF(COUNT(E178:F178)&lt;2,"N/A",IF(ABS(G178)&lt;=H178,"OK","❌"))</f>
        <v>OK</v>
      </c>
      <c r="J178" s="103" t="s">
        <v>1269</v>
      </c>
      <c r="K178" s="4" t="str">
        <f aca="false">IF(I178=J178,"✔ sesuai","✖ TIDAK sesuai")</f>
        <v>✔ sesuai</v>
      </c>
      <c r="L178" s="104"/>
    </row>
    <row r="179" customFormat="false" ht="15" hidden="false" customHeight="false" outlineLevel="0" collapsed="false">
      <c r="A179" s="13" t="n">
        <v>173</v>
      </c>
      <c r="B179" s="13" t="s">
        <v>1267</v>
      </c>
      <c r="C179" s="13" t="s">
        <v>1271</v>
      </c>
      <c r="D179" s="13" t="n">
        <v>2024</v>
      </c>
      <c r="E179" s="50" t="n">
        <f aca="false">IS!G15</f>
        <v>-75764058101</v>
      </c>
      <c r="F179" s="50" t="n">
        <f aca="false">IS!G36</f>
        <v>-75764058101</v>
      </c>
      <c r="G179" s="102" t="n">
        <f aca="false">IF(COUNT(E179:F179)=2,E179-F179,"")</f>
        <v>0</v>
      </c>
      <c r="H179" s="103" t="n">
        <v>1</v>
      </c>
      <c r="I179" s="4" t="str">
        <f aca="false">IF(COUNT(E179:F179)&lt;2,"N/A",IF(ABS(G179)&lt;=H179,"OK","❌"))</f>
        <v>OK</v>
      </c>
      <c r="J179" s="103" t="s">
        <v>1269</v>
      </c>
      <c r="K179" s="4" t="str">
        <f aca="false">IF(I179=J179,"✔ sesuai","✖ TIDAK sesuai")</f>
        <v>✔ sesuai</v>
      </c>
      <c r="L179" s="104"/>
    </row>
    <row r="180" customFormat="false" ht="15" hidden="false" customHeight="false" outlineLevel="0" collapsed="false">
      <c r="A180" s="13" t="n">
        <v>174</v>
      </c>
      <c r="B180" s="13" t="s">
        <v>1267</v>
      </c>
      <c r="C180" s="13" t="s">
        <v>1272</v>
      </c>
      <c r="D180" s="13" t="n">
        <v>2024</v>
      </c>
      <c r="E180" s="50" t="n">
        <f aca="false">IS!G17</f>
        <v>-79917220104</v>
      </c>
      <c r="F180" s="50" t="n">
        <f aca="false">IS!G37</f>
        <v>-79917220104</v>
      </c>
      <c r="G180" s="102" t="n">
        <f aca="false">IF(COUNT(E180:F180)=2,E180-F180,"")</f>
        <v>0</v>
      </c>
      <c r="H180" s="103" t="n">
        <v>1</v>
      </c>
      <c r="I180" s="4" t="str">
        <f aca="false">IF(COUNT(E180:F180)&lt;2,"N/A",IF(ABS(G180)&lt;=H180,"OK","❌"))</f>
        <v>OK</v>
      </c>
      <c r="J180" s="103" t="s">
        <v>1269</v>
      </c>
      <c r="K180" s="4" t="str">
        <f aca="false">IF(I180=J180,"✔ sesuai","✖ TIDAK sesuai")</f>
        <v>✔ sesuai</v>
      </c>
      <c r="L180" s="104"/>
    </row>
    <row r="181" customFormat="false" ht="15" hidden="false" customHeight="false" outlineLevel="0" collapsed="false">
      <c r="A181" s="13" t="n">
        <v>175</v>
      </c>
      <c r="B181" s="13" t="s">
        <v>1267</v>
      </c>
      <c r="C181" s="13" t="s">
        <v>1273</v>
      </c>
      <c r="D181" s="13" t="n">
        <v>2024</v>
      </c>
      <c r="E181" s="50" t="n">
        <f aca="false">IS!G21</f>
        <v>580048831</v>
      </c>
      <c r="F181" s="50" t="n">
        <f aca="false">IS!G38</f>
        <v>580048831</v>
      </c>
      <c r="G181" s="102" t="n">
        <f aca="false">IF(COUNT(E181:F181)=2,E181-F181,"")</f>
        <v>0</v>
      </c>
      <c r="H181" s="103" t="n">
        <v>1</v>
      </c>
      <c r="I181" s="4" t="str">
        <f aca="false">IF(COUNT(E181:F181)&lt;2,"N/A",IF(ABS(G181)&lt;=H181,"OK","❌"))</f>
        <v>OK</v>
      </c>
      <c r="J181" s="103" t="s">
        <v>1269</v>
      </c>
      <c r="K181" s="4" t="str">
        <f aca="false">IF(I181=J181,"✔ sesuai","✖ TIDAK sesuai")</f>
        <v>✔ sesuai</v>
      </c>
      <c r="L181" s="104"/>
    </row>
    <row r="182" customFormat="false" ht="15" hidden="false" customHeight="false" outlineLevel="0" collapsed="false">
      <c r="A182" s="13" t="n">
        <v>176</v>
      </c>
      <c r="B182" s="13" t="s">
        <v>1267</v>
      </c>
      <c r="C182" s="13" t="s">
        <v>1274</v>
      </c>
      <c r="D182" s="13" t="n">
        <v>2024</v>
      </c>
      <c r="E182" s="50" t="n">
        <f aca="false">IS!G22</f>
        <v>-79337171273</v>
      </c>
      <c r="F182" s="50" t="n">
        <f aca="false">IS!G39</f>
        <v>-79337171273</v>
      </c>
      <c r="G182" s="102" t="n">
        <f aca="false">IF(COUNT(E182:F182)=2,E182-F182,"")</f>
        <v>0</v>
      </c>
      <c r="H182" s="103" t="n">
        <v>1</v>
      </c>
      <c r="I182" s="4" t="str">
        <f aca="false">IF(COUNT(E182:F182)&lt;2,"N/A",IF(ABS(G182)&lt;=H182,"OK","❌"))</f>
        <v>OK</v>
      </c>
      <c r="J182" s="103" t="s">
        <v>1269</v>
      </c>
      <c r="K182" s="4" t="str">
        <f aca="false">IF(I182=J182,"✔ sesuai","✖ TIDAK sesuai")</f>
        <v>✔ sesuai</v>
      </c>
      <c r="L182" s="104"/>
    </row>
    <row r="183" customFormat="false" ht="15" hidden="false" customHeight="false" outlineLevel="0" collapsed="false">
      <c r="A183" s="13" t="n">
        <v>177</v>
      </c>
      <c r="B183" s="13" t="s">
        <v>1267</v>
      </c>
      <c r="C183" s="13" t="s">
        <v>1275</v>
      </c>
      <c r="D183" s="13" t="n">
        <v>2024</v>
      </c>
      <c r="E183" s="50" t="n">
        <f aca="false">BS!G15</f>
        <v>543316240373</v>
      </c>
      <c r="F183" s="50" t="n">
        <f aca="false">BS!G50</f>
        <v>543316240373</v>
      </c>
      <c r="G183" s="102" t="n">
        <f aca="false">IF(COUNT(E183:F183)=2,E183-F183,"")</f>
        <v>0</v>
      </c>
      <c r="H183" s="103" t="n">
        <v>1</v>
      </c>
      <c r="I183" s="4" t="str">
        <f aca="false">IF(COUNT(E183:F183)&lt;2,"N/A",IF(ABS(G183)&lt;=H183,"OK","❌"))</f>
        <v>OK</v>
      </c>
      <c r="J183" s="103" t="s">
        <v>1269</v>
      </c>
      <c r="K183" s="4" t="str">
        <f aca="false">IF(I183=J183,"✔ sesuai","✖ TIDAK sesuai")</f>
        <v>✔ sesuai</v>
      </c>
      <c r="L183" s="104"/>
    </row>
    <row r="184" customFormat="false" ht="15" hidden="false" customHeight="false" outlineLevel="0" collapsed="false">
      <c r="A184" s="13" t="n">
        <v>178</v>
      </c>
      <c r="B184" s="13" t="s">
        <v>1267</v>
      </c>
      <c r="C184" s="13" t="s">
        <v>1276</v>
      </c>
      <c r="D184" s="13" t="n">
        <v>2024</v>
      </c>
      <c r="E184" s="50" t="n">
        <f aca="false">BS!G20</f>
        <v>3477789172011</v>
      </c>
      <c r="F184" s="50" t="n">
        <f aca="false">BS!G51</f>
        <v>3477789172011</v>
      </c>
      <c r="G184" s="102" t="n">
        <f aca="false">IF(COUNT(E184:F184)=2,E184-F184,"")</f>
        <v>0</v>
      </c>
      <c r="H184" s="103" t="n">
        <v>1</v>
      </c>
      <c r="I184" s="4" t="str">
        <f aca="false">IF(COUNT(E184:F184)&lt;2,"N/A",IF(ABS(G184)&lt;=H184,"OK","❌"))</f>
        <v>OK</v>
      </c>
      <c r="J184" s="103" t="s">
        <v>1269</v>
      </c>
      <c r="K184" s="4" t="str">
        <f aca="false">IF(I184=J184,"✔ sesuai","✖ TIDAK sesuai")</f>
        <v>✔ sesuai</v>
      </c>
      <c r="L184" s="104"/>
    </row>
    <row r="185" customFormat="false" ht="15" hidden="false" customHeight="false" outlineLevel="0" collapsed="false">
      <c r="A185" s="13" t="n">
        <v>179</v>
      </c>
      <c r="B185" s="13" t="s">
        <v>1267</v>
      </c>
      <c r="C185" s="13" t="s">
        <v>1277</v>
      </c>
      <c r="D185" s="13" t="n">
        <v>2024</v>
      </c>
      <c r="E185" s="50" t="n">
        <f aca="false">BS!G21</f>
        <v>4021105412384</v>
      </c>
      <c r="F185" s="50" t="n">
        <f aca="false">BS!G52</f>
        <v>4021105412384</v>
      </c>
      <c r="G185" s="102" t="n">
        <f aca="false">IF(COUNT(E185:F185)=2,E185-F185,"")</f>
        <v>0</v>
      </c>
      <c r="H185" s="103" t="n">
        <v>1</v>
      </c>
      <c r="I185" s="4" t="str">
        <f aca="false">IF(COUNT(E185:F185)&lt;2,"N/A",IF(ABS(G185)&lt;=H185,"OK","❌"))</f>
        <v>OK</v>
      </c>
      <c r="J185" s="103" t="s">
        <v>1269</v>
      </c>
      <c r="K185" s="4" t="str">
        <f aca="false">IF(I185=J185,"✔ sesuai","✖ TIDAK sesuai")</f>
        <v>✔ sesuai</v>
      </c>
      <c r="L185" s="104"/>
    </row>
    <row r="186" customFormat="false" ht="15" hidden="false" customHeight="false" outlineLevel="0" collapsed="false">
      <c r="A186" s="13" t="n">
        <v>180</v>
      </c>
      <c r="B186" s="13" t="s">
        <v>1267</v>
      </c>
      <c r="C186" s="13" t="s">
        <v>1278</v>
      </c>
      <c r="D186" s="13" t="n">
        <v>2024</v>
      </c>
      <c r="E186" s="50" t="n">
        <f aca="false">BS!G33</f>
        <v>874056732450</v>
      </c>
      <c r="F186" s="50" t="n">
        <f aca="false">BS!G53</f>
        <v>874056732450</v>
      </c>
      <c r="G186" s="102" t="n">
        <f aca="false">IF(COUNT(E186:F186)=2,E186-F186,"")</f>
        <v>0</v>
      </c>
      <c r="H186" s="103" t="n">
        <v>1</v>
      </c>
      <c r="I186" s="4" t="str">
        <f aca="false">IF(COUNT(E186:F186)&lt;2,"N/A",IF(ABS(G186)&lt;=H186,"OK","❌"))</f>
        <v>OK</v>
      </c>
      <c r="J186" s="103" t="s">
        <v>1269</v>
      </c>
      <c r="K186" s="4" t="str">
        <f aca="false">IF(I186=J186,"✔ sesuai","✖ TIDAK sesuai")</f>
        <v>✔ sesuai</v>
      </c>
      <c r="L186" s="104"/>
    </row>
    <row r="187" customFormat="false" ht="15" hidden="false" customHeight="false" outlineLevel="0" collapsed="false">
      <c r="A187" s="13" t="n">
        <v>181</v>
      </c>
      <c r="B187" s="13" t="s">
        <v>1267</v>
      </c>
      <c r="C187" s="13" t="s">
        <v>1279</v>
      </c>
      <c r="D187" s="13" t="n">
        <v>2024</v>
      </c>
      <c r="E187" s="50" t="n">
        <f aca="false">BS!G39</f>
        <v>128661843206</v>
      </c>
      <c r="F187" s="50" t="n">
        <f aca="false">BS!G54</f>
        <v>128661843206</v>
      </c>
      <c r="G187" s="102" t="n">
        <f aca="false">IF(COUNT(E187:F187)=2,E187-F187,"")</f>
        <v>0</v>
      </c>
      <c r="H187" s="103" t="n">
        <v>1</v>
      </c>
      <c r="I187" s="4" t="str">
        <f aca="false">IF(COUNT(E187:F187)&lt;2,"N/A",IF(ABS(G187)&lt;=H187,"OK","❌"))</f>
        <v>OK</v>
      </c>
      <c r="J187" s="103" t="s">
        <v>1269</v>
      </c>
      <c r="K187" s="4" t="str">
        <f aca="false">IF(I187=J187,"✔ sesuai","✖ TIDAK sesuai")</f>
        <v>✔ sesuai</v>
      </c>
      <c r="L187" s="104"/>
    </row>
    <row r="188" customFormat="false" ht="15" hidden="false" customHeight="false" outlineLevel="0" collapsed="false">
      <c r="A188" s="13" t="n">
        <v>182</v>
      </c>
      <c r="B188" s="13" t="s">
        <v>1267</v>
      </c>
      <c r="C188" s="13" t="s">
        <v>1280</v>
      </c>
      <c r="D188" s="13" t="n">
        <v>2024</v>
      </c>
      <c r="E188" s="50" t="n">
        <f aca="false">BS!G40</f>
        <v>1002718575656</v>
      </c>
      <c r="F188" s="50" t="n">
        <f aca="false">BS!G55</f>
        <v>1002718575656</v>
      </c>
      <c r="G188" s="102" t="n">
        <f aca="false">IF(COUNT(E188:F188)=2,E188-F188,"")</f>
        <v>0</v>
      </c>
      <c r="H188" s="103" t="n">
        <v>1</v>
      </c>
      <c r="I188" s="4" t="str">
        <f aca="false">IF(COUNT(E188:F188)&lt;2,"N/A",IF(ABS(G188)&lt;=H188,"OK","❌"))</f>
        <v>OK</v>
      </c>
      <c r="J188" s="103" t="s">
        <v>1269</v>
      </c>
      <c r="K188" s="4" t="str">
        <f aca="false">IF(I188=J188,"✔ sesuai","✖ TIDAK sesuai")</f>
        <v>✔ sesuai</v>
      </c>
      <c r="L188" s="104"/>
    </row>
    <row r="189" customFormat="false" ht="15" hidden="false" customHeight="false" outlineLevel="0" collapsed="false">
      <c r="A189" s="13" t="n">
        <v>183</v>
      </c>
      <c r="B189" s="13" t="s">
        <v>1267</v>
      </c>
      <c r="C189" s="13" t="s">
        <v>1281</v>
      </c>
      <c r="D189" s="13" t="n">
        <v>2024</v>
      </c>
      <c r="E189" s="50" t="n">
        <f aca="false">BS!G45</f>
        <v>3016767267251</v>
      </c>
      <c r="F189" s="50" t="n">
        <f aca="false">BS!G56</f>
        <v>3016767267251</v>
      </c>
      <c r="G189" s="102" t="n">
        <f aca="false">IF(COUNT(E189:F189)=2,E189-F189,"")</f>
        <v>0</v>
      </c>
      <c r="H189" s="103" t="n">
        <v>1</v>
      </c>
      <c r="I189" s="4" t="str">
        <f aca="false">IF(COUNT(E189:F189)&lt;2,"N/A",IF(ABS(G189)&lt;=H189,"OK","❌"))</f>
        <v>OK</v>
      </c>
      <c r="J189" s="103" t="s">
        <v>1269</v>
      </c>
      <c r="K189" s="4" t="str">
        <f aca="false">IF(I189=J189,"✔ sesuai","✖ TIDAK sesuai")</f>
        <v>✔ sesuai</v>
      </c>
      <c r="L189" s="104"/>
    </row>
    <row r="190" customFormat="false" ht="15" hidden="false" customHeight="false" outlineLevel="0" collapsed="false">
      <c r="A190" s="13" t="n">
        <v>184</v>
      </c>
      <c r="B190" s="13" t="s">
        <v>1267</v>
      </c>
      <c r="C190" s="13" t="s">
        <v>1282</v>
      </c>
      <c r="D190" s="13" t="n">
        <v>2024</v>
      </c>
      <c r="E190" s="50" t="n">
        <f aca="false">BS!G47</f>
        <v>3018386836728</v>
      </c>
      <c r="F190" s="50" t="n">
        <f aca="false">BS!G57</f>
        <v>3018386836728</v>
      </c>
      <c r="G190" s="102" t="n">
        <f aca="false">IF(COUNT(E190:F190)=2,E190-F190,"")</f>
        <v>0</v>
      </c>
      <c r="H190" s="103" t="n">
        <v>1</v>
      </c>
      <c r="I190" s="4" t="str">
        <f aca="false">IF(COUNT(E190:F190)&lt;2,"N/A",IF(ABS(G190)&lt;=H190,"OK","❌"))</f>
        <v>OK</v>
      </c>
      <c r="J190" s="103" t="s">
        <v>1269</v>
      </c>
      <c r="K190" s="4" t="str">
        <f aca="false">IF(I190=J190,"✔ sesuai","✖ TIDAK sesuai")</f>
        <v>✔ sesuai</v>
      </c>
      <c r="L190" s="104"/>
    </row>
    <row r="191" customFormat="false" ht="15" hidden="false" customHeight="false" outlineLevel="0" collapsed="false">
      <c r="A191" s="13" t="n">
        <v>185</v>
      </c>
      <c r="B191" s="13" t="s">
        <v>1267</v>
      </c>
      <c r="C191" s="13" t="s">
        <v>1283</v>
      </c>
      <c r="D191" s="13" t="n">
        <v>2024</v>
      </c>
      <c r="E191" s="50" t="n">
        <f aca="false">BS!G48</f>
        <v>4021105412384</v>
      </c>
      <c r="F191" s="50" t="n">
        <f aca="false">BS!G58</f>
        <v>4021105412384</v>
      </c>
      <c r="G191" s="102" t="n">
        <f aca="false">IF(COUNT(E191:F191)=2,E191-F191,"")</f>
        <v>0</v>
      </c>
      <c r="H191" s="103" t="n">
        <v>1</v>
      </c>
      <c r="I191" s="4" t="str">
        <f aca="false">IF(COUNT(E191:F191)&lt;2,"N/A",IF(ABS(G191)&lt;=H191,"OK","❌"))</f>
        <v>OK</v>
      </c>
      <c r="J191" s="103" t="s">
        <v>1269</v>
      </c>
      <c r="K191" s="4" t="str">
        <f aca="false">IF(I191=J191,"✔ sesuai","✖ TIDAK sesuai")</f>
        <v>✔ sesuai</v>
      </c>
      <c r="L191" s="104"/>
    </row>
    <row r="192" customFormat="false" ht="15" hidden="false" customHeight="false" outlineLevel="0" collapsed="false">
      <c r="A192" s="13" t="n">
        <v>186</v>
      </c>
      <c r="B192" s="13" t="s">
        <v>1267</v>
      </c>
      <c r="C192" s="13" t="s">
        <v>1284</v>
      </c>
      <c r="D192" s="13" t="n">
        <v>2024</v>
      </c>
      <c r="E192" s="50" t="n">
        <f aca="false">CF!G10</f>
        <v>-34493786864</v>
      </c>
      <c r="F192" s="50" t="n">
        <f aca="false">CF!G45</f>
        <v>-34493786864</v>
      </c>
      <c r="G192" s="102" t="n">
        <f aca="false">IF(COUNT(E192:F192)=2,E192-F192,"")</f>
        <v>0</v>
      </c>
      <c r="H192" s="103" t="n">
        <v>1</v>
      </c>
      <c r="I192" s="4" t="str">
        <f aca="false">IF(COUNT(E192:F192)&lt;2,"N/A",IF(ABS(G192)&lt;=H192,"OK","❌"))</f>
        <v>OK</v>
      </c>
      <c r="J192" s="103" t="s">
        <v>1269</v>
      </c>
      <c r="K192" s="4" t="str">
        <f aca="false">IF(I192=J192,"✔ sesuai","✖ TIDAK sesuai")</f>
        <v>✔ sesuai</v>
      </c>
      <c r="L192" s="104"/>
    </row>
    <row r="193" customFormat="false" ht="15" hidden="false" customHeight="false" outlineLevel="0" collapsed="false">
      <c r="A193" s="13" t="n">
        <v>187</v>
      </c>
      <c r="B193" s="13" t="s">
        <v>1267</v>
      </c>
      <c r="C193" s="13" t="s">
        <v>1287</v>
      </c>
      <c r="D193" s="13" t="n">
        <v>2024</v>
      </c>
      <c r="E193" s="50" t="n">
        <f aca="false">CF!G14</f>
        <v>-113011184320</v>
      </c>
      <c r="F193" s="50" t="n">
        <f aca="false">CF!G46</f>
        <v>-113011184320</v>
      </c>
      <c r="G193" s="102" t="n">
        <f aca="false">IF(COUNT(E193:F193)=2,E193-F193,"")</f>
        <v>0</v>
      </c>
      <c r="H193" s="103" t="n">
        <v>1</v>
      </c>
      <c r="I193" s="4" t="str">
        <f aca="false">IF(COUNT(E193:F193)&lt;2,"N/A",IF(ABS(G193)&lt;=H193,"OK","❌"))</f>
        <v>OK</v>
      </c>
      <c r="J193" s="103" t="s">
        <v>1269</v>
      </c>
      <c r="K193" s="4" t="str">
        <f aca="false">IF(I193=J193,"✔ sesuai","✖ TIDAK sesuai")</f>
        <v>✔ sesuai</v>
      </c>
      <c r="L193" s="104"/>
    </row>
    <row r="194" customFormat="false" ht="15" hidden="false" customHeight="false" outlineLevel="0" collapsed="false">
      <c r="A194" s="13" t="n">
        <v>188</v>
      </c>
      <c r="B194" s="13" t="s">
        <v>1267</v>
      </c>
      <c r="C194" s="13" t="s">
        <v>1288</v>
      </c>
      <c r="D194" s="13" t="n">
        <v>2024</v>
      </c>
      <c r="E194" s="50" t="n">
        <f aca="false">CF!G23</f>
        <v>42526142886</v>
      </c>
      <c r="F194" s="50" t="n">
        <f aca="false">CF!G47</f>
        <v>42526142886</v>
      </c>
      <c r="G194" s="102" t="n">
        <f aca="false">IF(COUNT(E194:F194)=2,E194-F194,"")</f>
        <v>0</v>
      </c>
      <c r="H194" s="103" t="n">
        <v>1</v>
      </c>
      <c r="I194" s="4" t="str">
        <f aca="false">IF(COUNT(E194:F194)&lt;2,"N/A",IF(ABS(G194)&lt;=H194,"OK","❌"))</f>
        <v>OK</v>
      </c>
      <c r="J194" s="103" t="s">
        <v>1269</v>
      </c>
      <c r="K194" s="4" t="str">
        <f aca="false">IF(I194=J194,"✔ sesuai","✖ TIDAK sesuai")</f>
        <v>✔ sesuai</v>
      </c>
      <c r="L194" s="104"/>
    </row>
    <row r="195" customFormat="false" ht="15" hidden="false" customHeight="false" outlineLevel="0" collapsed="false">
      <c r="A195" s="13" t="n">
        <v>189</v>
      </c>
      <c r="B195" s="13" t="s">
        <v>1267</v>
      </c>
      <c r="C195" s="13" t="s">
        <v>1289</v>
      </c>
      <c r="D195" s="13" t="n">
        <v>2024</v>
      </c>
      <c r="E195" s="50" t="n">
        <f aca="false">CF!G39</f>
        <v>-6208243672</v>
      </c>
      <c r="F195" s="50" t="n">
        <f aca="false">CF!G48</f>
        <v>-6208243672</v>
      </c>
      <c r="G195" s="102" t="n">
        <f aca="false">IF(COUNT(E195:F195)=2,E195-F195,"")</f>
        <v>0</v>
      </c>
      <c r="H195" s="103" t="n">
        <v>1</v>
      </c>
      <c r="I195" s="4" t="str">
        <f aca="false">IF(COUNT(E195:F195)&lt;2,"N/A",IF(ABS(G195)&lt;=H195,"OK","❌"))</f>
        <v>OK</v>
      </c>
      <c r="J195" s="103" t="s">
        <v>1269</v>
      </c>
      <c r="K195" s="4" t="str">
        <f aca="false">IF(I195=J195,"✔ sesuai","✖ TIDAK sesuai")</f>
        <v>✔ sesuai</v>
      </c>
      <c r="L195" s="104"/>
    </row>
    <row r="196" customFormat="false" ht="15" hidden="false" customHeight="false" outlineLevel="0" collapsed="false">
      <c r="A196" s="13" t="n">
        <v>190</v>
      </c>
      <c r="B196" s="13" t="s">
        <v>1267</v>
      </c>
      <c r="C196" s="13" t="s">
        <v>1290</v>
      </c>
      <c r="D196" s="13" t="n">
        <v>2024</v>
      </c>
      <c r="E196" s="50" t="n">
        <f aca="false">CF!G40</f>
        <v>-76693285106</v>
      </c>
      <c r="F196" s="50" t="n">
        <f aca="false">CF!G49</f>
        <v>-76693285106</v>
      </c>
      <c r="G196" s="102" t="n">
        <f aca="false">IF(COUNT(E196:F196)=2,E196-F196,"")</f>
        <v>0</v>
      </c>
      <c r="H196" s="103" t="n">
        <v>1</v>
      </c>
      <c r="I196" s="4" t="str">
        <f aca="false">IF(COUNT(E196:F196)&lt;2,"N/A",IF(ABS(G196)&lt;=H196,"OK","❌"))</f>
        <v>OK</v>
      </c>
      <c r="J196" s="103" t="s">
        <v>1269</v>
      </c>
      <c r="K196" s="4" t="str">
        <f aca="false">IF(I196=J196,"✔ sesuai","✖ TIDAK sesuai")</f>
        <v>✔ sesuai</v>
      </c>
      <c r="L196" s="104"/>
    </row>
    <row r="197" customFormat="false" ht="15" hidden="false" customHeight="false" outlineLevel="0" collapsed="false">
      <c r="A197" s="13" t="n">
        <v>191</v>
      </c>
      <c r="B197" s="13" t="s">
        <v>1267</v>
      </c>
      <c r="C197" s="13" t="s">
        <v>1291</v>
      </c>
      <c r="D197" s="13" t="n">
        <v>2024</v>
      </c>
      <c r="E197" s="50" t="n">
        <f aca="false">CF!G43</f>
        <v>449069663731</v>
      </c>
      <c r="F197" s="50" t="n">
        <f aca="false">CF!G50</f>
        <v>449069663731</v>
      </c>
      <c r="G197" s="102" t="n">
        <f aca="false">IF(COUNT(E197:F197)=2,E197-F197,"")</f>
        <v>0</v>
      </c>
      <c r="H197" s="103" t="n">
        <v>1</v>
      </c>
      <c r="I197" s="4" t="str">
        <f aca="false">IF(COUNT(E197:F197)&lt;2,"N/A",IF(ABS(G197)&lt;=H197,"OK","❌"))</f>
        <v>OK</v>
      </c>
      <c r="J197" s="103" t="s">
        <v>1269</v>
      </c>
      <c r="K197" s="4" t="str">
        <f aca="false">IF(I197=J197,"✔ sesuai","✖ TIDAK sesuai")</f>
        <v>✔ sesuai</v>
      </c>
      <c r="L197" s="104"/>
    </row>
    <row r="198" customFormat="false" ht="15" hidden="false" customHeight="false" outlineLevel="0" collapsed="false">
      <c r="A198" s="13" t="n">
        <v>192</v>
      </c>
      <c r="B198" s="13" t="s">
        <v>1292</v>
      </c>
      <c r="C198" s="13" t="s">
        <v>1293</v>
      </c>
      <c r="D198" s="13" t="n">
        <v>2024</v>
      </c>
      <c r="E198" s="50" t="n">
        <f aca="false">BS!G21</f>
        <v>4021105412384</v>
      </c>
      <c r="F198" s="50" t="n">
        <f aca="false">BS!G48</f>
        <v>4021105412384</v>
      </c>
      <c r="G198" s="102" t="n">
        <f aca="false">IF(COUNT(E198:F198)=2,E198-F198,"")</f>
        <v>0</v>
      </c>
      <c r="H198" s="103" t="n">
        <v>1</v>
      </c>
      <c r="I198" s="4" t="str">
        <f aca="false">IF(COUNT(E198:F198)&lt;2,"N/A",IF(ABS(G198)&lt;=H198,"OK","❌"))</f>
        <v>OK</v>
      </c>
      <c r="J198" s="103" t="s">
        <v>1269</v>
      </c>
      <c r="K198" s="4" t="str">
        <f aca="false">IF(I198=J198,"✔ sesuai","✖ TIDAK sesuai")</f>
        <v>✔ sesuai</v>
      </c>
      <c r="L198" s="104"/>
    </row>
    <row r="199" customFormat="false" ht="15" hidden="false" customHeight="false" outlineLevel="0" collapsed="false">
      <c r="A199" s="13" t="n">
        <v>193</v>
      </c>
      <c r="B199" s="13" t="s">
        <v>1292</v>
      </c>
      <c r="C199" s="13" t="s">
        <v>1294</v>
      </c>
      <c r="D199" s="13" t="n">
        <v>2024</v>
      </c>
      <c r="E199" s="50" t="n">
        <f aca="false">IS!G17</f>
        <v>-79917220104</v>
      </c>
      <c r="F199" s="50" t="n">
        <f aca="false">IS!G24+IS!G25</f>
        <v>-79917220104</v>
      </c>
      <c r="G199" s="102" t="n">
        <f aca="false">IF(COUNT(E199:F199)=2,E199-F199,"")</f>
        <v>0</v>
      </c>
      <c r="H199" s="103" t="n">
        <v>1</v>
      </c>
      <c r="I199" s="4" t="str">
        <f aca="false">IF(COUNT(E199:F199)&lt;2,"N/A",IF(ABS(G199)&lt;=H199,"OK","❌"))</f>
        <v>OK</v>
      </c>
      <c r="J199" s="103" t="s">
        <v>1269</v>
      </c>
      <c r="K199" s="4" t="str">
        <f aca="false">IF(I199=J199,"✔ sesuai","✖ TIDAK sesuai")</f>
        <v>✔ sesuai</v>
      </c>
      <c r="L199" s="104"/>
    </row>
    <row r="200" customFormat="false" ht="15" hidden="false" customHeight="false" outlineLevel="0" collapsed="false">
      <c r="A200" s="13" t="n">
        <v>194</v>
      </c>
      <c r="B200" s="13" t="s">
        <v>1292</v>
      </c>
      <c r="C200" s="13" t="s">
        <v>1295</v>
      </c>
      <c r="D200" s="13" t="n">
        <v>2024</v>
      </c>
      <c r="E200" s="50" t="n">
        <f aca="false">IS!G22</f>
        <v>-79337171273</v>
      </c>
      <c r="F200" s="50" t="n">
        <f aca="false">IS!G26+IS!G27</f>
        <v>-79337171273</v>
      </c>
      <c r="G200" s="102" t="n">
        <f aca="false">IF(COUNT(E200:F200)=2,E200-F200,"")</f>
        <v>0</v>
      </c>
      <c r="H200" s="103" t="n">
        <v>1</v>
      </c>
      <c r="I200" s="4" t="str">
        <f aca="false">IF(COUNT(E200:F200)&lt;2,"N/A",IF(ABS(G200)&lt;=H200,"OK","❌"))</f>
        <v>OK</v>
      </c>
      <c r="J200" s="103" t="s">
        <v>1269</v>
      </c>
      <c r="K200" s="4" t="str">
        <f aca="false">IF(I200=J200,"✔ sesuai","✖ TIDAK sesuai")</f>
        <v>✔ sesuai</v>
      </c>
      <c r="L200" s="104"/>
    </row>
    <row r="201" customFormat="false" ht="15" hidden="false" customHeight="false" outlineLevel="0" collapsed="false">
      <c r="A201" s="13" t="n">
        <v>195</v>
      </c>
      <c r="B201" s="13" t="s">
        <v>1292</v>
      </c>
      <c r="C201" s="13" t="s">
        <v>1296</v>
      </c>
      <c r="D201" s="13" t="n">
        <v>2024</v>
      </c>
      <c r="E201" s="50" t="n">
        <f aca="false">CF!G43</f>
        <v>449069663731</v>
      </c>
      <c r="F201" s="50" t="n">
        <f aca="false">BS!G6</f>
        <v>449069663731</v>
      </c>
      <c r="G201" s="102" t="n">
        <f aca="false">IF(COUNT(E201:F201)=2,E201-F201,"")</f>
        <v>0</v>
      </c>
      <c r="H201" s="103" t="n">
        <v>1</v>
      </c>
      <c r="I201" s="4" t="str">
        <f aca="false">IF(COUNT(E201:F201)&lt;2,"N/A",IF(ABS(G201)&lt;=H201,"OK","❌"))</f>
        <v>OK</v>
      </c>
      <c r="J201" s="103" t="s">
        <v>1269</v>
      </c>
      <c r="K201" s="4" t="str">
        <f aca="false">IF(I201=J201,"✔ sesuai","✖ TIDAK sesuai")</f>
        <v>✔ sesuai</v>
      </c>
      <c r="L201" s="104"/>
    </row>
    <row r="202" customFormat="false" ht="15" hidden="false" customHeight="false" outlineLevel="0" collapsed="false">
      <c r="A202" s="13" t="n">
        <v>196</v>
      </c>
      <c r="B202" s="13" t="s">
        <v>1292</v>
      </c>
      <c r="C202" s="13" t="s">
        <v>1297</v>
      </c>
      <c r="D202" s="13" t="n">
        <v>2024</v>
      </c>
      <c r="E202" s="61" t="n">
        <v>0</v>
      </c>
      <c r="F202" s="50" t="n">
        <f aca="false">CF!G38</f>
        <v>0</v>
      </c>
      <c r="G202" s="102" t="n">
        <f aca="false">IF(COUNT(E202:F202)=2,E202-F202,"")</f>
        <v>0</v>
      </c>
      <c r="H202" s="103" t="n">
        <v>1</v>
      </c>
      <c r="I202" s="4" t="str">
        <f aca="false">IF(COUNT(E202:F202)&lt;2,"N/A",IF(ABS(G202)&lt;=H202,"OK","❌"))</f>
        <v>OK</v>
      </c>
      <c r="J202" s="103" t="s">
        <v>1269</v>
      </c>
      <c r="K202" s="4" t="str">
        <f aca="false">IF(I202=J202,"✔ sesuai","✖ TIDAK sesuai")</f>
        <v>✔ sesuai</v>
      </c>
      <c r="L202" s="104" t="s">
        <v>1298</v>
      </c>
    </row>
    <row r="203" customFormat="false" ht="15" hidden="false" customHeight="false" outlineLevel="0" collapsed="false">
      <c r="A203" s="13" t="n">
        <v>197</v>
      </c>
      <c r="B203" s="13" t="s">
        <v>1306</v>
      </c>
      <c r="C203" s="13" t="s">
        <v>1307</v>
      </c>
      <c r="D203" s="13" t="n">
        <v>2024</v>
      </c>
      <c r="E203" s="50" t="n">
        <f aca="false">CF!G41</f>
        <v>525762948837</v>
      </c>
      <c r="F203" s="50" t="n">
        <f aca="false">BS!F6</f>
        <v>525762948837</v>
      </c>
      <c r="G203" s="102" t="n">
        <f aca="false">IF(COUNT(E203:F203)=2,E203-F203,"")</f>
        <v>0</v>
      </c>
      <c r="H203" s="103" t="n">
        <v>1</v>
      </c>
      <c r="I203" s="4" t="str">
        <f aca="false">IF(COUNT(E203:F203)&lt;2,"N/A",IF(ABS(G203)&lt;=H203,"OK","❌"))</f>
        <v>OK</v>
      </c>
      <c r="J203" s="103" t="s">
        <v>1269</v>
      </c>
      <c r="K203" s="4" t="str">
        <f aca="false">IF(I203=J203,"✔ sesuai","✖ TIDAK sesuai")</f>
        <v>✔ sesuai</v>
      </c>
      <c r="L203" s="104"/>
    </row>
    <row r="204" customFormat="false" ht="15" hidden="false" customHeight="false" outlineLevel="0" collapsed="false">
      <c r="A204" s="13" t="n">
        <v>198</v>
      </c>
      <c r="B204" s="13" t="s">
        <v>1306</v>
      </c>
      <c r="C204" s="13" t="s">
        <v>1308</v>
      </c>
      <c r="D204" s="13" t="n">
        <v>2024</v>
      </c>
      <c r="E204" s="50" t="n">
        <f aca="false">BS!F44+-79732226609+CF!G38+0</f>
        <v>-311516892081</v>
      </c>
      <c r="F204" s="50" t="n">
        <f aca="false">BS!G44</f>
        <v>-311516892081</v>
      </c>
      <c r="G204" s="102" t="n">
        <f aca="false">IF(COUNT(E204:F204)=2,E204-F204,"")</f>
        <v>0</v>
      </c>
      <c r="H204" s="103" t="n">
        <v>1</v>
      </c>
      <c r="I204" s="4" t="str">
        <f aca="false">IF(COUNT(E204:F204)&lt;2,"N/A",IF(ABS(G204)&lt;=H204,"OK","❌"))</f>
        <v>OK</v>
      </c>
      <c r="J204" s="103" t="s">
        <v>1269</v>
      </c>
      <c r="K204" s="4" t="str">
        <f aca="false">IF(I204=J204,"✔ sesuai","✖ TIDAK sesuai")</f>
        <v>✔ sesuai</v>
      </c>
      <c r="L204" s="104" t="s">
        <v>1309</v>
      </c>
    </row>
    <row r="205" customFormat="false" ht="15" hidden="false" customHeight="false" outlineLevel="0" collapsed="false">
      <c r="A205" s="13" t="n">
        <v>199</v>
      </c>
      <c r="B205" s="13" t="s">
        <v>1306</v>
      </c>
      <c r="C205" s="13" t="s">
        <v>1329</v>
      </c>
      <c r="D205" s="13" t="n">
        <v>2024</v>
      </c>
      <c r="E205" s="50" t="n">
        <f aca="false">Schedules!G29</f>
        <v>3482029090425</v>
      </c>
      <c r="F205" s="50" t="n">
        <f aca="false">Schedules!F34</f>
        <v>3482029090425</v>
      </c>
      <c r="G205" s="102" t="n">
        <f aca="false">IF(COUNT(E205:F205)=2,E205-F205,"")</f>
        <v>0</v>
      </c>
      <c r="H205" s="103" t="n">
        <v>1</v>
      </c>
      <c r="I205" s="4" t="str">
        <f aca="false">IF(COUNT(E205:F205)&lt;2,"N/A",IF(ABS(G205)&lt;=H205,"OK","❌"))</f>
        <v>OK</v>
      </c>
      <c r="J205" s="103" t="s">
        <v>1269</v>
      </c>
      <c r="K205" s="4" t="str">
        <f aca="false">IF(I205=J205,"✔ sesuai","✖ TIDAK sesuai")</f>
        <v>✔ sesuai</v>
      </c>
      <c r="L205" s="104"/>
    </row>
    <row r="206" customFormat="false" ht="15" hidden="false" customHeight="false" outlineLevel="0" collapsed="false">
      <c r="A206" s="13" t="n">
        <v>200</v>
      </c>
      <c r="B206" s="13" t="s">
        <v>1306</v>
      </c>
      <c r="C206" s="13" t="s">
        <v>1330</v>
      </c>
      <c r="D206" s="13" t="n">
        <v>2024</v>
      </c>
      <c r="E206" s="50" t="n">
        <f aca="false">Schedules!G37</f>
        <v>151629476307</v>
      </c>
      <c r="F206" s="50" t="n">
        <f aca="false">Schedules!F42</f>
        <v>151629476307</v>
      </c>
      <c r="G206" s="102" t="n">
        <f aca="false">IF(COUNT(E206:F206)=2,E206-F206,"")</f>
        <v>0</v>
      </c>
      <c r="H206" s="103" t="n">
        <v>1</v>
      </c>
      <c r="I206" s="4" t="str">
        <f aca="false">IF(COUNT(E206:F206)&lt;2,"N/A",IF(ABS(G206)&lt;=H206,"OK","❌"))</f>
        <v>OK</v>
      </c>
      <c r="J206" s="103" t="s">
        <v>1269</v>
      </c>
      <c r="K206" s="4" t="str">
        <f aca="false">IF(I206=J206,"✔ sesuai","✖ TIDAK sesuai")</f>
        <v>✔ sesuai</v>
      </c>
      <c r="L206" s="104"/>
    </row>
    <row r="207" customFormat="false" ht="15" hidden="false" customHeight="false" outlineLevel="0" collapsed="false">
      <c r="A207" s="13" t="n">
        <v>201</v>
      </c>
      <c r="B207" s="13" t="s">
        <v>1299</v>
      </c>
      <c r="C207" s="13" t="s">
        <v>1310</v>
      </c>
      <c r="D207" s="13" t="n">
        <v>2024</v>
      </c>
      <c r="E207" s="50" t="n">
        <f aca="false">Schedules!G10</f>
        <v>319022410802</v>
      </c>
      <c r="F207" s="50" t="n">
        <f aca="false">IS!G6</f>
        <v>319022410802</v>
      </c>
      <c r="G207" s="102" t="n">
        <f aca="false">IF(COUNT(E207:F207)=2,E207-F207,"")</f>
        <v>0</v>
      </c>
      <c r="H207" s="103" t="n">
        <v>1</v>
      </c>
      <c r="I207" s="4" t="str">
        <f aca="false">IF(COUNT(E207:F207)&lt;2,"N/A",IF(ABS(G207)&lt;=H207,"OK","❌"))</f>
        <v>OK</v>
      </c>
      <c r="J207" s="103" t="s">
        <v>1269</v>
      </c>
      <c r="K207" s="4" t="str">
        <f aca="false">IF(I207=J207,"✔ sesuai","✖ TIDAK sesuai")</f>
        <v>✔ sesuai</v>
      </c>
      <c r="L207" s="104"/>
    </row>
    <row r="208" customFormat="false" ht="15" hidden="false" customHeight="false" outlineLevel="0" collapsed="false">
      <c r="A208" s="13" t="n">
        <v>202</v>
      </c>
      <c r="B208" s="13" t="s">
        <v>1299</v>
      </c>
      <c r="C208" s="13" t="s">
        <v>1311</v>
      </c>
      <c r="D208" s="13" t="n">
        <v>2024</v>
      </c>
      <c r="E208" s="50" t="n">
        <f aca="false">Schedules!G62</f>
        <v>319022410802</v>
      </c>
      <c r="F208" s="50" t="n">
        <f aca="false">IS!G6</f>
        <v>319022410802</v>
      </c>
      <c r="G208" s="102" t="n">
        <f aca="false">IF(COUNT(E208:F208)=2,E208-F208,"")</f>
        <v>0</v>
      </c>
      <c r="H208" s="103" t="n">
        <v>1</v>
      </c>
      <c r="I208" s="4" t="str">
        <f aca="false">IF(COUNT(E208:F208)&lt;2,"N/A",IF(ABS(G208)&lt;=H208,"OK","❌"))</f>
        <v>OK</v>
      </c>
      <c r="J208" s="103" t="s">
        <v>1269</v>
      </c>
      <c r="K208" s="4" t="str">
        <f aca="false">IF(I208=J208,"✔ sesuai","✖ TIDAK sesuai")</f>
        <v>✔ sesuai</v>
      </c>
      <c r="L208" s="104"/>
    </row>
    <row r="209" customFormat="false" ht="15" hidden="false" customHeight="false" outlineLevel="0" collapsed="false">
      <c r="A209" s="13" t="n">
        <v>203</v>
      </c>
      <c r="B209" s="13" t="s">
        <v>1299</v>
      </c>
      <c r="C209" s="13" t="s">
        <v>1312</v>
      </c>
      <c r="D209" s="13" t="n">
        <v>2024</v>
      </c>
      <c r="E209" s="50" t="n">
        <f aca="false">Schedules!G76</f>
        <v>214434696643</v>
      </c>
      <c r="F209" s="50" t="n">
        <f aca="false">-IS!G7</f>
        <v>214434696643</v>
      </c>
      <c r="G209" s="102" t="n">
        <f aca="false">IF(COUNT(E209:F209)=2,E209-F209,"")</f>
        <v>0</v>
      </c>
      <c r="H209" s="103" t="n">
        <v>1</v>
      </c>
      <c r="I209" s="4" t="str">
        <f aca="false">IF(COUNT(E209:F209)&lt;2,"N/A",IF(ABS(G209)&lt;=H209,"OK","❌"))</f>
        <v>OK</v>
      </c>
      <c r="J209" s="103" t="s">
        <v>1269</v>
      </c>
      <c r="K209" s="4" t="str">
        <f aca="false">IF(I209=J209,"✔ sesuai","✖ TIDAK sesuai")</f>
        <v>✔ sesuai</v>
      </c>
      <c r="L209" s="104"/>
    </row>
    <row r="210" customFormat="false" ht="15" hidden="false" customHeight="false" outlineLevel="0" collapsed="false">
      <c r="A210" s="13" t="n">
        <v>204</v>
      </c>
      <c r="B210" s="13" t="s">
        <v>1299</v>
      </c>
      <c r="C210" s="13" t="s">
        <v>1313</v>
      </c>
      <c r="D210" s="13" t="n">
        <v>2024</v>
      </c>
      <c r="E210" s="50" t="n">
        <f aca="false">Schedules!G99</f>
        <v>134515340769</v>
      </c>
      <c r="F210" s="50" t="n">
        <f aca="false">-IS!G9</f>
        <v>134515340769</v>
      </c>
      <c r="G210" s="102" t="n">
        <f aca="false">IF(COUNT(E210:F210)=2,E210-F210,"")</f>
        <v>0</v>
      </c>
      <c r="H210" s="103" t="n">
        <v>1</v>
      </c>
      <c r="I210" s="4" t="str">
        <f aca="false">IF(COUNT(E210:F210)&lt;2,"N/A",IF(ABS(G210)&lt;=H210,"OK","❌"))</f>
        <v>OK</v>
      </c>
      <c r="J210" s="103" t="s">
        <v>1269</v>
      </c>
      <c r="K210" s="4" t="str">
        <f aca="false">IF(I210=J210,"✔ sesuai","✖ TIDAK sesuai")</f>
        <v>✔ sesuai</v>
      </c>
      <c r="L210" s="104"/>
    </row>
    <row r="211" customFormat="false" ht="15" hidden="false" customHeight="false" outlineLevel="0" collapsed="false">
      <c r="A211" s="13" t="n">
        <v>205</v>
      </c>
      <c r="B211" s="13" t="s">
        <v>1299</v>
      </c>
      <c r="C211" s="13" t="s">
        <v>1314</v>
      </c>
      <c r="D211" s="13" t="n">
        <v>2024</v>
      </c>
      <c r="E211" s="50" t="n">
        <f aca="false">Schedules!G108</f>
        <v>6242710845</v>
      </c>
      <c r="F211" s="50" t="n">
        <f aca="false">IS!G13</f>
        <v>6242710845</v>
      </c>
      <c r="G211" s="102" t="n">
        <f aca="false">IF(COUNT(E211:F211)=2,E211-F211,"")</f>
        <v>0</v>
      </c>
      <c r="H211" s="103" t="n">
        <v>1</v>
      </c>
      <c r="I211" s="4" t="str">
        <f aca="false">IF(COUNT(E211:F211)&lt;2,"N/A",IF(ABS(G211)&lt;=H211,"OK","❌"))</f>
        <v>OK</v>
      </c>
      <c r="J211" s="103" t="s">
        <v>1269</v>
      </c>
      <c r="K211" s="4" t="str">
        <f aca="false">IF(I211=J211,"✔ sesuai","✖ TIDAK sesuai")</f>
        <v>✔ sesuai</v>
      </c>
      <c r="L211" s="104"/>
    </row>
    <row r="212" customFormat="false" ht="15" hidden="false" customHeight="false" outlineLevel="0" collapsed="false">
      <c r="A212" s="13" t="n">
        <v>206</v>
      </c>
      <c r="B212" s="13" t="s">
        <v>1299</v>
      </c>
      <c r="C212" s="13" t="s">
        <v>1315</v>
      </c>
      <c r="D212" s="13" t="n">
        <v>2024</v>
      </c>
      <c r="E212" s="50" t="n">
        <f aca="false">Schedules!G117</f>
        <v>77315017008</v>
      </c>
      <c r="F212" s="50" t="n">
        <f aca="false">-IS!G14</f>
        <v>77315017008</v>
      </c>
      <c r="G212" s="102" t="n">
        <f aca="false">IF(COUNT(E212:F212)=2,E212-F212,"")</f>
        <v>0</v>
      </c>
      <c r="H212" s="103" t="n">
        <v>1</v>
      </c>
      <c r="I212" s="4" t="str">
        <f aca="false">IF(COUNT(E212:F212)&lt;2,"N/A",IF(ABS(G212)&lt;=H212,"OK","❌"))</f>
        <v>OK</v>
      </c>
      <c r="J212" s="103" t="s">
        <v>1269</v>
      </c>
      <c r="K212" s="4" t="str">
        <f aca="false">IF(I212=J212,"✔ sesuai","✖ TIDAK sesuai")</f>
        <v>✔ sesuai</v>
      </c>
      <c r="L212" s="104"/>
    </row>
    <row r="213" customFormat="false" ht="15" hidden="false" customHeight="false" outlineLevel="0" collapsed="false">
      <c r="A213" s="13" t="n">
        <v>207</v>
      </c>
      <c r="B213" s="13" t="s">
        <v>1299</v>
      </c>
      <c r="C213" s="13" t="s">
        <v>1316</v>
      </c>
      <c r="D213" s="13" t="n">
        <v>2024</v>
      </c>
      <c r="E213" s="50" t="n">
        <f aca="false">Schedules!G123</f>
        <v>25235874672</v>
      </c>
      <c r="F213" s="50" t="n">
        <f aca="false">IS!G11</f>
        <v>25235874672</v>
      </c>
      <c r="G213" s="102" t="n">
        <f aca="false">IF(COUNT(E213:F213)=2,E213-F213,"")</f>
        <v>0</v>
      </c>
      <c r="H213" s="103" t="n">
        <v>1</v>
      </c>
      <c r="I213" s="4" t="str">
        <f aca="false">IF(COUNT(E213:F213)&lt;2,"N/A",IF(ABS(G213)&lt;=H213,"OK","❌"))</f>
        <v>OK</v>
      </c>
      <c r="J213" s="103" t="s">
        <v>1269</v>
      </c>
      <c r="K213" s="4" t="str">
        <f aca="false">IF(I213=J213,"✔ sesuai","✖ TIDAK sesuai")</f>
        <v>✔ sesuai</v>
      </c>
      <c r="L213" s="104"/>
    </row>
    <row r="214" customFormat="false" ht="15" hidden="false" customHeight="false" outlineLevel="0" collapsed="false">
      <c r="A214" s="13" t="n">
        <v>208</v>
      </c>
      <c r="B214" s="13" t="s">
        <v>1299</v>
      </c>
      <c r="C214" s="13" t="s">
        <v>1317</v>
      </c>
      <c r="D214" s="13" t="n">
        <v>2024</v>
      </c>
      <c r="E214" s="50" t="n">
        <f aca="false">Schedules!G44</f>
        <v>3257425244004</v>
      </c>
      <c r="F214" s="50" t="n">
        <f aca="false">BS!G16</f>
        <v>3257425244004</v>
      </c>
      <c r="G214" s="102" t="n">
        <f aca="false">IF(COUNT(E214:F214)=2,E214-F214,"")</f>
        <v>0</v>
      </c>
      <c r="H214" s="103" t="n">
        <v>1</v>
      </c>
      <c r="I214" s="4" t="str">
        <f aca="false">IF(COUNT(E214:F214)&lt;2,"N/A",IF(ABS(G214)&lt;=H214,"OK","❌"))</f>
        <v>OK</v>
      </c>
      <c r="J214" s="103" t="s">
        <v>1269</v>
      </c>
      <c r="K214" s="4" t="str">
        <f aca="false">IF(I214=J214,"✔ sesuai","✖ TIDAK sesuai")</f>
        <v>✔ sesuai</v>
      </c>
      <c r="L214" s="104"/>
    </row>
    <row r="215" customFormat="false" ht="15" hidden="false" customHeight="false" outlineLevel="0" collapsed="false">
      <c r="A215" s="13" t="n">
        <v>209</v>
      </c>
      <c r="B215" s="13" t="s">
        <v>1318</v>
      </c>
      <c r="C215" s="13" t="s">
        <v>1319</v>
      </c>
      <c r="D215" s="13" t="n">
        <v>2024</v>
      </c>
      <c r="E215" s="50" t="n">
        <f aca="false">Schedules!G14</f>
        <v>25515756073</v>
      </c>
      <c r="F215" s="50" t="n">
        <f aca="false">Schedules!G15</f>
        <v>25515756073</v>
      </c>
      <c r="G215" s="102" t="n">
        <f aca="false">IF(COUNT(E215:F215)=2,E215-F215,"")</f>
        <v>0</v>
      </c>
      <c r="H215" s="103" t="n">
        <v>1</v>
      </c>
      <c r="I215" s="4" t="str">
        <f aca="false">IF(COUNT(E215:F215)&lt;2,"N/A",IF(ABS(G215)&lt;=H215,"OK","❌"))</f>
        <v>OK</v>
      </c>
      <c r="J215" s="103" t="s">
        <v>1269</v>
      </c>
      <c r="K215" s="4" t="str">
        <f aca="false">IF(I215=J215,"✔ sesuai","✖ TIDAK sesuai")</f>
        <v>✔ sesuai</v>
      </c>
      <c r="L215" s="104"/>
    </row>
    <row r="216" customFormat="false" ht="15" hidden="false" customHeight="false" outlineLevel="0" collapsed="false">
      <c r="A216" s="13" t="n">
        <v>210</v>
      </c>
      <c r="B216" s="13" t="s">
        <v>1318</v>
      </c>
      <c r="C216" s="13" t="s">
        <v>1320</v>
      </c>
      <c r="D216" s="13" t="n">
        <v>2024</v>
      </c>
      <c r="E216" s="50" t="n">
        <f aca="false">Schedules!G35</f>
        <v>3432215639882</v>
      </c>
      <c r="F216" s="50" t="n">
        <f aca="false">Schedules!G34</f>
        <v>3432215639882</v>
      </c>
      <c r="G216" s="102" t="n">
        <f aca="false">IF(COUNT(E216:F216)=2,E216-F216,"")</f>
        <v>0</v>
      </c>
      <c r="H216" s="103" t="n">
        <v>1</v>
      </c>
      <c r="I216" s="4" t="str">
        <f aca="false">IF(COUNT(E216:F216)&lt;2,"N/A",IF(ABS(G216)&lt;=H216,"OK","❌"))</f>
        <v>OK</v>
      </c>
      <c r="J216" s="103" t="s">
        <v>1269</v>
      </c>
      <c r="K216" s="4" t="str">
        <f aca="false">IF(I216=J216,"✔ sesuai","✖ TIDAK sesuai")</f>
        <v>✔ sesuai</v>
      </c>
      <c r="L216" s="104"/>
    </row>
    <row r="217" customFormat="false" ht="15" hidden="false" customHeight="false" outlineLevel="0" collapsed="false">
      <c r="A217" s="13" t="n">
        <v>211</v>
      </c>
      <c r="B217" s="13" t="s">
        <v>1318</v>
      </c>
      <c r="C217" s="13" t="s">
        <v>1321</v>
      </c>
      <c r="D217" s="13" t="n">
        <v>2024</v>
      </c>
      <c r="E217" s="50" t="n">
        <f aca="false">Schedules!G43</f>
        <v>174790395878</v>
      </c>
      <c r="F217" s="50" t="n">
        <f aca="false">Schedules!G42</f>
        <v>174790395878</v>
      </c>
      <c r="G217" s="102" t="n">
        <f aca="false">IF(COUNT(E217:F217)=2,E217-F217,"")</f>
        <v>0</v>
      </c>
      <c r="H217" s="103" t="n">
        <v>1</v>
      </c>
      <c r="I217" s="4" t="str">
        <f aca="false">IF(COUNT(E217:F217)&lt;2,"N/A",IF(ABS(G217)&lt;=H217,"OK","❌"))</f>
        <v>OK</v>
      </c>
      <c r="J217" s="103" t="s">
        <v>1269</v>
      </c>
      <c r="K217" s="4" t="str">
        <f aca="false">IF(I217=J217,"✔ sesuai","✖ TIDAK sesuai")</f>
        <v>✔ sesuai</v>
      </c>
      <c r="L217" s="104"/>
    </row>
    <row r="218" customFormat="false" ht="15" hidden="false" customHeight="false" outlineLevel="0" collapsed="false">
      <c r="A218" s="13" t="n">
        <v>212</v>
      </c>
      <c r="B218" s="13" t="s">
        <v>1318</v>
      </c>
      <c r="C218" s="13" t="s">
        <v>1322</v>
      </c>
      <c r="D218" s="13" t="n">
        <v>2024</v>
      </c>
      <c r="E218" s="50" t="n">
        <f aca="false">Schedules!G65</f>
        <v>319022410802</v>
      </c>
      <c r="F218" s="50" t="n">
        <f aca="false">Schedules!G62</f>
        <v>319022410802</v>
      </c>
      <c r="G218" s="102" t="n">
        <f aca="false">IF(COUNT(E218:F218)=2,E218-F218,"")</f>
        <v>0</v>
      </c>
      <c r="H218" s="103" t="n">
        <v>1</v>
      </c>
      <c r="I218" s="4" t="str">
        <f aca="false">IF(COUNT(E218:F218)&lt;2,"N/A",IF(ABS(G218)&lt;=H218,"OK","❌"))</f>
        <v>OK</v>
      </c>
      <c r="J218" s="103" t="s">
        <v>1269</v>
      </c>
      <c r="K218" s="4" t="str">
        <f aca="false">IF(I218=J218,"✔ sesuai","✖ TIDAK sesuai")</f>
        <v>✔ sesuai</v>
      </c>
      <c r="L218" s="104"/>
    </row>
    <row r="219" customFormat="false" ht="15" hidden="false" customHeight="false" outlineLevel="0" collapsed="false">
      <c r="A219" s="13" t="n">
        <v>213</v>
      </c>
      <c r="B219" s="13" t="s">
        <v>1318</v>
      </c>
      <c r="C219" s="13" t="s">
        <v>1323</v>
      </c>
      <c r="D219" s="13" t="n">
        <v>2024</v>
      </c>
      <c r="E219" s="50" t="n">
        <f aca="false">Schedules!G80</f>
        <v>214434696643</v>
      </c>
      <c r="F219" s="50" t="n">
        <f aca="false">Schedules!G76</f>
        <v>214434696643</v>
      </c>
      <c r="G219" s="102" t="n">
        <f aca="false">IF(COUNT(E219:F219)=2,E219-F219,"")</f>
        <v>0</v>
      </c>
      <c r="H219" s="103" t="n">
        <v>1</v>
      </c>
      <c r="I219" s="4" t="str">
        <f aca="false">IF(COUNT(E219:F219)&lt;2,"N/A",IF(ABS(G219)&lt;=H219,"OK","❌"))</f>
        <v>OK</v>
      </c>
      <c r="J219" s="103" t="s">
        <v>1269</v>
      </c>
      <c r="K219" s="4" t="str">
        <f aca="false">IF(I219=J219,"✔ sesuai","✖ TIDAK sesuai")</f>
        <v>✔ sesuai</v>
      </c>
      <c r="L219" s="104"/>
    </row>
    <row r="220" customFormat="false" ht="15" hidden="false" customHeight="false" outlineLevel="0" collapsed="false">
      <c r="A220" s="13" t="n">
        <v>214</v>
      </c>
      <c r="B220" s="13" t="s">
        <v>1318</v>
      </c>
      <c r="C220" s="13" t="s">
        <v>1324</v>
      </c>
      <c r="D220" s="13" t="n">
        <v>2024</v>
      </c>
      <c r="E220" s="50" t="n">
        <f aca="false">Schedules!G103</f>
        <v>134515340769</v>
      </c>
      <c r="F220" s="50" t="n">
        <f aca="false">Schedules!G99</f>
        <v>134515340769</v>
      </c>
      <c r="G220" s="102" t="n">
        <f aca="false">IF(COUNT(E220:F220)=2,E220-F220,"")</f>
        <v>0</v>
      </c>
      <c r="H220" s="103" t="n">
        <v>1</v>
      </c>
      <c r="I220" s="4" t="str">
        <f aca="false">IF(COUNT(E220:F220)&lt;2,"N/A",IF(ABS(G220)&lt;=H220,"OK","❌"))</f>
        <v>OK</v>
      </c>
      <c r="J220" s="103" t="s">
        <v>1269</v>
      </c>
      <c r="K220" s="4" t="str">
        <f aca="false">IF(I220=J220,"✔ sesuai","✖ TIDAK sesuai")</f>
        <v>✔ sesuai</v>
      </c>
      <c r="L220" s="104"/>
    </row>
    <row r="221" customFormat="false" ht="15" hidden="false" customHeight="false" outlineLevel="0" collapsed="false">
      <c r="A221" s="13" t="n">
        <v>215</v>
      </c>
      <c r="B221" s="13" t="s">
        <v>1318</v>
      </c>
      <c r="C221" s="13" t="s">
        <v>1325</v>
      </c>
      <c r="D221" s="13" t="n">
        <v>2024</v>
      </c>
      <c r="E221" s="50" t="n">
        <f aca="false">Schedules!G110</f>
        <v>6242710845</v>
      </c>
      <c r="F221" s="50" t="n">
        <f aca="false">Schedules!G108</f>
        <v>6242710845</v>
      </c>
      <c r="G221" s="102" t="n">
        <f aca="false">IF(COUNT(E221:F221)=2,E221-F221,"")</f>
        <v>0</v>
      </c>
      <c r="H221" s="103" t="n">
        <v>1</v>
      </c>
      <c r="I221" s="4" t="str">
        <f aca="false">IF(COUNT(E221:F221)&lt;2,"N/A",IF(ABS(G221)&lt;=H221,"OK","❌"))</f>
        <v>OK</v>
      </c>
      <c r="J221" s="103" t="s">
        <v>1269</v>
      </c>
      <c r="K221" s="4" t="str">
        <f aca="false">IF(I221=J221,"✔ sesuai","✖ TIDAK sesuai")</f>
        <v>✔ sesuai</v>
      </c>
      <c r="L221" s="104"/>
    </row>
    <row r="222" customFormat="false" ht="15" hidden="false" customHeight="false" outlineLevel="0" collapsed="false">
      <c r="A222" s="13" t="n">
        <v>216</v>
      </c>
      <c r="B222" s="13" t="s">
        <v>1318</v>
      </c>
      <c r="C222" s="13" t="s">
        <v>1326</v>
      </c>
      <c r="D222" s="13" t="n">
        <v>2024</v>
      </c>
      <c r="E222" s="50" t="n">
        <f aca="false">Schedules!G118</f>
        <v>77315017008</v>
      </c>
      <c r="F222" s="50" t="n">
        <f aca="false">Schedules!G117</f>
        <v>77315017008</v>
      </c>
      <c r="G222" s="102" t="n">
        <f aca="false">IF(COUNT(E222:F222)=2,E222-F222,"")</f>
        <v>0</v>
      </c>
      <c r="H222" s="103" t="n">
        <v>1</v>
      </c>
      <c r="I222" s="4" t="str">
        <f aca="false">IF(COUNT(E222:F222)&lt;2,"N/A",IF(ABS(G222)&lt;=H222,"OK","❌"))</f>
        <v>OK</v>
      </c>
      <c r="J222" s="103" t="s">
        <v>1269</v>
      </c>
      <c r="K222" s="4" t="str">
        <f aca="false">IF(I222=J222,"✔ sesuai","✖ TIDAK sesuai")</f>
        <v>✔ sesuai</v>
      </c>
      <c r="L222" s="104"/>
    </row>
    <row r="223" customFormat="false" ht="15" hidden="false" customHeight="false" outlineLevel="0" collapsed="false">
      <c r="A223" s="13" t="n">
        <v>217</v>
      </c>
      <c r="B223" s="13" t="s">
        <v>1318</v>
      </c>
      <c r="C223" s="13" t="s">
        <v>1327</v>
      </c>
      <c r="D223" s="13" t="n">
        <v>2024</v>
      </c>
      <c r="E223" s="50" t="n">
        <f aca="false">Schedules!G130</f>
        <v>25235874672</v>
      </c>
      <c r="F223" s="50" t="n">
        <f aca="false">Schedules!G123</f>
        <v>25235874672</v>
      </c>
      <c r="G223" s="102" t="n">
        <f aca="false">IF(COUNT(E223:F223)=2,E223-F223,"")</f>
        <v>0</v>
      </c>
      <c r="H223" s="103" t="n">
        <v>1</v>
      </c>
      <c r="I223" s="4" t="str">
        <f aca="false">IF(COUNT(E223:F223)&lt;2,"N/A",IF(ABS(G223)&lt;=H223,"OK","❌"))</f>
        <v>OK</v>
      </c>
      <c r="J223" s="103" t="s">
        <v>1269</v>
      </c>
      <c r="K223" s="4" t="str">
        <f aca="false">IF(I223=J223,"✔ sesuai","✖ TIDAK sesuai")</f>
        <v>✔ sesuai</v>
      </c>
      <c r="L223" s="104"/>
    </row>
    <row r="224" customFormat="false" ht="15" hidden="false" customHeight="false" outlineLevel="0" collapsed="false">
      <c r="A224" s="13" t="n">
        <v>218</v>
      </c>
      <c r="B224" s="13" t="s">
        <v>1302</v>
      </c>
      <c r="C224" s="13" t="s">
        <v>1328</v>
      </c>
      <c r="D224" s="13" t="n">
        <v>2024</v>
      </c>
      <c r="E224" s="50" t="n">
        <f aca="false">IS!G28</f>
        <v>-2.42</v>
      </c>
      <c r="F224" s="50" t="n">
        <f aca="false">ROUND(IS!G24/Schedules!G20,2)</f>
        <v>-2.42</v>
      </c>
      <c r="G224" s="102" t="n">
        <f aca="false">IF(COUNT(E224:F224)=2,E224-F224,"")</f>
        <v>0</v>
      </c>
      <c r="H224" s="103" t="n">
        <v>1</v>
      </c>
      <c r="I224" s="4" t="str">
        <f aca="false">IF(COUNT(E224:F224)&lt;2,"N/A",IF(ABS(G224)&lt;=H224,"OK","❌"))</f>
        <v>OK</v>
      </c>
      <c r="J224" s="103" t="s">
        <v>1269</v>
      </c>
      <c r="K224" s="4" t="str">
        <f aca="false">IF(I224=J224,"✔ sesuai","✖ TIDAK sesuai")</f>
        <v>✔ sesuai</v>
      </c>
      <c r="L224" s="104"/>
    </row>
    <row r="225" customFormat="false" ht="15" hidden="false" customHeight="false" outlineLevel="0" collapsed="false">
      <c r="A225" s="13" t="n">
        <v>219</v>
      </c>
      <c r="B225" s="13" t="s">
        <v>1267</v>
      </c>
      <c r="C225" s="13" t="s">
        <v>1268</v>
      </c>
      <c r="D225" s="13" t="n">
        <v>2025</v>
      </c>
      <c r="E225" s="50" t="n">
        <f aca="false">IS!H8</f>
        <v>215157588939</v>
      </c>
      <c r="F225" s="50" t="n">
        <f aca="false">IS!H34</f>
        <v>215157588939</v>
      </c>
      <c r="G225" s="102" t="n">
        <f aca="false">IF(COUNT(E225:F225)=2,E225-F225,"")</f>
        <v>0</v>
      </c>
      <c r="H225" s="103" t="n">
        <v>1</v>
      </c>
      <c r="I225" s="4" t="str">
        <f aca="false">IF(COUNT(E225:F225)&lt;2,"N/A",IF(ABS(G225)&lt;=H225,"OK","❌"))</f>
        <v>OK</v>
      </c>
      <c r="J225" s="103" t="s">
        <v>1269</v>
      </c>
      <c r="K225" s="4" t="str">
        <f aca="false">IF(I225=J225,"✔ sesuai","✖ TIDAK sesuai")</f>
        <v>✔ sesuai</v>
      </c>
      <c r="L225" s="104"/>
    </row>
    <row r="226" customFormat="false" ht="15" hidden="false" customHeight="false" outlineLevel="0" collapsed="false">
      <c r="A226" s="13" t="n">
        <v>220</v>
      </c>
      <c r="B226" s="13" t="s">
        <v>1267</v>
      </c>
      <c r="C226" s="13" t="s">
        <v>1270</v>
      </c>
      <c r="D226" s="13" t="n">
        <v>2025</v>
      </c>
      <c r="E226" s="50" t="n">
        <f aca="false">IS!H10</f>
        <v>70015871454</v>
      </c>
      <c r="F226" s="50" t="n">
        <f aca="false">IS!H35</f>
        <v>70015871454</v>
      </c>
      <c r="G226" s="102" t="n">
        <f aca="false">IF(COUNT(E226:F226)=2,E226-F226,"")</f>
        <v>0</v>
      </c>
      <c r="H226" s="103" t="n">
        <v>1</v>
      </c>
      <c r="I226" s="4" t="str">
        <f aca="false">IF(COUNT(E226:F226)&lt;2,"N/A",IF(ABS(G226)&lt;=H226,"OK","❌"))</f>
        <v>OK</v>
      </c>
      <c r="J226" s="103" t="s">
        <v>1269</v>
      </c>
      <c r="K226" s="4" t="str">
        <f aca="false">IF(I226=J226,"✔ sesuai","✖ TIDAK sesuai")</f>
        <v>✔ sesuai</v>
      </c>
      <c r="L226" s="104"/>
    </row>
    <row r="227" customFormat="false" ht="15" hidden="false" customHeight="false" outlineLevel="0" collapsed="false">
      <c r="A227" s="13" t="n">
        <v>221</v>
      </c>
      <c r="B227" s="13" t="s">
        <v>1267</v>
      </c>
      <c r="C227" s="13" t="s">
        <v>1271</v>
      </c>
      <c r="D227" s="13" t="n">
        <v>2025</v>
      </c>
      <c r="E227" s="50" t="n">
        <f aca="false">IS!H15</f>
        <v>8071335153</v>
      </c>
      <c r="F227" s="50" t="n">
        <f aca="false">IS!H36</f>
        <v>8071335153</v>
      </c>
      <c r="G227" s="102" t="n">
        <f aca="false">IF(COUNT(E227:F227)=2,E227-F227,"")</f>
        <v>0</v>
      </c>
      <c r="H227" s="103" t="n">
        <v>1</v>
      </c>
      <c r="I227" s="4" t="str">
        <f aca="false">IF(COUNT(E227:F227)&lt;2,"N/A",IF(ABS(G227)&lt;=H227,"OK","❌"))</f>
        <v>OK</v>
      </c>
      <c r="J227" s="103" t="s">
        <v>1269</v>
      </c>
      <c r="K227" s="4" t="str">
        <f aca="false">IF(I227=J227,"✔ sesuai","✖ TIDAK sesuai")</f>
        <v>✔ sesuai</v>
      </c>
      <c r="L227" s="104"/>
    </row>
    <row r="228" customFormat="false" ht="15" hidden="false" customHeight="false" outlineLevel="0" collapsed="false">
      <c r="A228" s="13" t="n">
        <v>222</v>
      </c>
      <c r="B228" s="13" t="s">
        <v>1267</v>
      </c>
      <c r="C228" s="13" t="s">
        <v>1272</v>
      </c>
      <c r="D228" s="13" t="n">
        <v>2025</v>
      </c>
      <c r="E228" s="50" t="n">
        <f aca="false">IS!H17</f>
        <v>5145566121</v>
      </c>
      <c r="F228" s="50" t="n">
        <f aca="false">IS!H37</f>
        <v>5145566121</v>
      </c>
      <c r="G228" s="102" t="n">
        <f aca="false">IF(COUNT(E228:F228)=2,E228-F228,"")</f>
        <v>0</v>
      </c>
      <c r="H228" s="103" t="n">
        <v>1</v>
      </c>
      <c r="I228" s="4" t="str">
        <f aca="false">IF(COUNT(E228:F228)&lt;2,"N/A",IF(ABS(G228)&lt;=H228,"OK","❌"))</f>
        <v>OK</v>
      </c>
      <c r="J228" s="103" t="s">
        <v>1269</v>
      </c>
      <c r="K228" s="4" t="str">
        <f aca="false">IF(I228=J228,"✔ sesuai","✖ TIDAK sesuai")</f>
        <v>✔ sesuai</v>
      </c>
      <c r="L228" s="104"/>
    </row>
    <row r="229" customFormat="false" ht="15" hidden="false" customHeight="false" outlineLevel="0" collapsed="false">
      <c r="A229" s="13" t="n">
        <v>223</v>
      </c>
      <c r="B229" s="13" t="s">
        <v>1267</v>
      </c>
      <c r="C229" s="13" t="s">
        <v>1273</v>
      </c>
      <c r="D229" s="13" t="n">
        <v>2025</v>
      </c>
      <c r="E229" s="50" t="n">
        <f aca="false">IS!H21</f>
        <v>323108259</v>
      </c>
      <c r="F229" s="50" t="n">
        <f aca="false">IS!H38</f>
        <v>323108259</v>
      </c>
      <c r="G229" s="102" t="n">
        <f aca="false">IF(COUNT(E229:F229)=2,E229-F229,"")</f>
        <v>0</v>
      </c>
      <c r="H229" s="103" t="n">
        <v>1</v>
      </c>
      <c r="I229" s="4" t="str">
        <f aca="false">IF(COUNT(E229:F229)&lt;2,"N/A",IF(ABS(G229)&lt;=H229,"OK","❌"))</f>
        <v>OK</v>
      </c>
      <c r="J229" s="103" t="s">
        <v>1269</v>
      </c>
      <c r="K229" s="4" t="str">
        <f aca="false">IF(I229=J229,"✔ sesuai","✖ TIDAK sesuai")</f>
        <v>✔ sesuai</v>
      </c>
      <c r="L229" s="104"/>
    </row>
    <row r="230" customFormat="false" ht="15" hidden="false" customHeight="false" outlineLevel="0" collapsed="false">
      <c r="A230" s="13" t="n">
        <v>224</v>
      </c>
      <c r="B230" s="13" t="s">
        <v>1267</v>
      </c>
      <c r="C230" s="13" t="s">
        <v>1274</v>
      </c>
      <c r="D230" s="13" t="n">
        <v>2025</v>
      </c>
      <c r="E230" s="50" t="n">
        <f aca="false">IS!H22</f>
        <v>5468674380</v>
      </c>
      <c r="F230" s="50" t="n">
        <f aca="false">IS!H39</f>
        <v>5468674380</v>
      </c>
      <c r="G230" s="102" t="n">
        <f aca="false">IF(COUNT(E230:F230)=2,E230-F230,"")</f>
        <v>0</v>
      </c>
      <c r="H230" s="103" t="n">
        <v>1</v>
      </c>
      <c r="I230" s="4" t="str">
        <f aca="false">IF(COUNT(E230:F230)&lt;2,"N/A",IF(ABS(G230)&lt;=H230,"OK","❌"))</f>
        <v>OK</v>
      </c>
      <c r="J230" s="103" t="s">
        <v>1269</v>
      </c>
      <c r="K230" s="4" t="str">
        <f aca="false">IF(I230=J230,"✔ sesuai","✖ TIDAK sesuai")</f>
        <v>✔ sesuai</v>
      </c>
      <c r="L230" s="104"/>
    </row>
    <row r="231" customFormat="false" ht="15" hidden="false" customHeight="false" outlineLevel="0" collapsed="false">
      <c r="A231" s="13" t="n">
        <v>225</v>
      </c>
      <c r="B231" s="13" t="s">
        <v>1267</v>
      </c>
      <c r="C231" s="13" t="s">
        <v>1275</v>
      </c>
      <c r="D231" s="13" t="n">
        <v>2025</v>
      </c>
      <c r="E231" s="50" t="n">
        <f aca="false">BS!H15</f>
        <v>513916984019</v>
      </c>
      <c r="F231" s="50" t="n">
        <f aca="false">BS!H50</f>
        <v>513916984019</v>
      </c>
      <c r="G231" s="102" t="n">
        <f aca="false">IF(COUNT(E231:F231)=2,E231-F231,"")</f>
        <v>0</v>
      </c>
      <c r="H231" s="103" t="n">
        <v>1</v>
      </c>
      <c r="I231" s="4" t="str">
        <f aca="false">IF(COUNT(E231:F231)&lt;2,"N/A",IF(ABS(G231)&lt;=H231,"OK","❌"))</f>
        <v>OK</v>
      </c>
      <c r="J231" s="103" t="s">
        <v>1269</v>
      </c>
      <c r="K231" s="4" t="str">
        <f aca="false">IF(I231=J231,"✔ sesuai","✖ TIDAK sesuai")</f>
        <v>✔ sesuai</v>
      </c>
      <c r="L231" s="104"/>
    </row>
    <row r="232" customFormat="false" ht="15" hidden="false" customHeight="false" outlineLevel="0" collapsed="false">
      <c r="A232" s="13" t="n">
        <v>226</v>
      </c>
      <c r="B232" s="13" t="s">
        <v>1267</v>
      </c>
      <c r="C232" s="13" t="s">
        <v>1276</v>
      </c>
      <c r="D232" s="13" t="n">
        <v>2025</v>
      </c>
      <c r="E232" s="50" t="n">
        <f aca="false">BS!H20</f>
        <v>3662011946746</v>
      </c>
      <c r="F232" s="50" t="n">
        <f aca="false">BS!H51</f>
        <v>3662011946746</v>
      </c>
      <c r="G232" s="102" t="n">
        <f aca="false">IF(COUNT(E232:F232)=2,E232-F232,"")</f>
        <v>0</v>
      </c>
      <c r="H232" s="103" t="n">
        <v>1</v>
      </c>
      <c r="I232" s="4" t="str">
        <f aca="false">IF(COUNT(E232:F232)&lt;2,"N/A",IF(ABS(G232)&lt;=H232,"OK","❌"))</f>
        <v>OK</v>
      </c>
      <c r="J232" s="103" t="s">
        <v>1269</v>
      </c>
      <c r="K232" s="4" t="str">
        <f aca="false">IF(I232=J232,"✔ sesuai","✖ TIDAK sesuai")</f>
        <v>✔ sesuai</v>
      </c>
      <c r="L232" s="104"/>
    </row>
    <row r="233" customFormat="false" ht="15" hidden="false" customHeight="false" outlineLevel="0" collapsed="false">
      <c r="A233" s="13" t="n">
        <v>227</v>
      </c>
      <c r="B233" s="13" t="s">
        <v>1267</v>
      </c>
      <c r="C233" s="13" t="s">
        <v>1277</v>
      </c>
      <c r="D233" s="13" t="n">
        <v>2025</v>
      </c>
      <c r="E233" s="50" t="n">
        <f aca="false">BS!H21</f>
        <v>4175928930765</v>
      </c>
      <c r="F233" s="50" t="n">
        <f aca="false">BS!H52</f>
        <v>4175928930765</v>
      </c>
      <c r="G233" s="102" t="n">
        <f aca="false">IF(COUNT(E233:F233)=2,E233-F233,"")</f>
        <v>0</v>
      </c>
      <c r="H233" s="103" t="n">
        <v>1</v>
      </c>
      <c r="I233" s="4" t="str">
        <f aca="false">IF(COUNT(E233:F233)&lt;2,"N/A",IF(ABS(G233)&lt;=H233,"OK","❌"))</f>
        <v>OK</v>
      </c>
      <c r="J233" s="103" t="s">
        <v>1269</v>
      </c>
      <c r="K233" s="4" t="str">
        <f aca="false">IF(I233=J233,"✔ sesuai","✖ TIDAK sesuai")</f>
        <v>✔ sesuai</v>
      </c>
      <c r="L233" s="104"/>
    </row>
    <row r="234" customFormat="false" ht="15" hidden="false" customHeight="false" outlineLevel="0" collapsed="false">
      <c r="A234" s="13" t="n">
        <v>228</v>
      </c>
      <c r="B234" s="13" t="s">
        <v>1267</v>
      </c>
      <c r="C234" s="13" t="s">
        <v>1278</v>
      </c>
      <c r="D234" s="13" t="n">
        <v>2025</v>
      </c>
      <c r="E234" s="50" t="n">
        <f aca="false">BS!H33</f>
        <v>613921910936</v>
      </c>
      <c r="F234" s="50" t="n">
        <f aca="false">BS!H53</f>
        <v>613921910936</v>
      </c>
      <c r="G234" s="102" t="n">
        <f aca="false">IF(COUNT(E234:F234)=2,E234-F234,"")</f>
        <v>0</v>
      </c>
      <c r="H234" s="103" t="n">
        <v>1</v>
      </c>
      <c r="I234" s="4" t="str">
        <f aca="false">IF(COUNT(E234:F234)&lt;2,"N/A",IF(ABS(G234)&lt;=H234,"OK","❌"))</f>
        <v>OK</v>
      </c>
      <c r="J234" s="103" t="s">
        <v>1269</v>
      </c>
      <c r="K234" s="4" t="str">
        <f aca="false">IF(I234=J234,"✔ sesuai","✖ TIDAK sesuai")</f>
        <v>✔ sesuai</v>
      </c>
      <c r="L234" s="104"/>
    </row>
    <row r="235" customFormat="false" ht="15" hidden="false" customHeight="false" outlineLevel="0" collapsed="false">
      <c r="A235" s="13" t="n">
        <v>229</v>
      </c>
      <c r="B235" s="13" t="s">
        <v>1267</v>
      </c>
      <c r="C235" s="13" t="s">
        <v>1279</v>
      </c>
      <c r="D235" s="13" t="n">
        <v>2025</v>
      </c>
      <c r="E235" s="50" t="n">
        <f aca="false">BS!H39</f>
        <v>538151508721</v>
      </c>
      <c r="F235" s="50" t="n">
        <f aca="false">BS!H54</f>
        <v>538151508721</v>
      </c>
      <c r="G235" s="102" t="n">
        <f aca="false">IF(COUNT(E235:F235)=2,E235-F235,"")</f>
        <v>0</v>
      </c>
      <c r="H235" s="103" t="n">
        <v>1</v>
      </c>
      <c r="I235" s="4" t="str">
        <f aca="false">IF(COUNT(E235:F235)&lt;2,"N/A",IF(ABS(G235)&lt;=H235,"OK","❌"))</f>
        <v>OK</v>
      </c>
      <c r="J235" s="103" t="s">
        <v>1269</v>
      </c>
      <c r="K235" s="4" t="str">
        <f aca="false">IF(I235=J235,"✔ sesuai","✖ TIDAK sesuai")</f>
        <v>✔ sesuai</v>
      </c>
      <c r="L235" s="104"/>
    </row>
    <row r="236" customFormat="false" ht="15" hidden="false" customHeight="false" outlineLevel="0" collapsed="false">
      <c r="A236" s="13" t="n">
        <v>230</v>
      </c>
      <c r="B236" s="13" t="s">
        <v>1267</v>
      </c>
      <c r="C236" s="13" t="s">
        <v>1280</v>
      </c>
      <c r="D236" s="13" t="n">
        <v>2025</v>
      </c>
      <c r="E236" s="50" t="n">
        <f aca="false">BS!H40</f>
        <v>1152073419657</v>
      </c>
      <c r="F236" s="50" t="n">
        <f aca="false">BS!H55</f>
        <v>1152073419657</v>
      </c>
      <c r="G236" s="102" t="n">
        <f aca="false">IF(COUNT(E236:F236)=2,E236-F236,"")</f>
        <v>0</v>
      </c>
      <c r="H236" s="103" t="n">
        <v>1</v>
      </c>
      <c r="I236" s="4" t="str">
        <f aca="false">IF(COUNT(E236:F236)&lt;2,"N/A",IF(ABS(G236)&lt;=H236,"OK","❌"))</f>
        <v>OK</v>
      </c>
      <c r="J236" s="103" t="s">
        <v>1269</v>
      </c>
      <c r="K236" s="4" t="str">
        <f aca="false">IF(I236=J236,"✔ sesuai","✖ TIDAK sesuai")</f>
        <v>✔ sesuai</v>
      </c>
      <c r="L236" s="104"/>
    </row>
    <row r="237" customFormat="false" ht="15" hidden="false" customHeight="false" outlineLevel="0" collapsed="false">
      <c r="A237" s="13" t="n">
        <v>231</v>
      </c>
      <c r="B237" s="13" t="s">
        <v>1267</v>
      </c>
      <c r="C237" s="13" t="s">
        <v>1281</v>
      </c>
      <c r="D237" s="13" t="n">
        <v>2025</v>
      </c>
      <c r="E237" s="50" t="n">
        <f aca="false">BS!H45</f>
        <v>3022043093818</v>
      </c>
      <c r="F237" s="50" t="n">
        <f aca="false">BS!H56</f>
        <v>3022043093818</v>
      </c>
      <c r="G237" s="102" t="n">
        <f aca="false">IF(COUNT(E237:F237)=2,E237-F237,"")</f>
        <v>0</v>
      </c>
      <c r="H237" s="103" t="n">
        <v>1</v>
      </c>
      <c r="I237" s="4" t="str">
        <f aca="false">IF(COUNT(E237:F237)&lt;2,"N/A",IF(ABS(G237)&lt;=H237,"OK","❌"))</f>
        <v>OK</v>
      </c>
      <c r="J237" s="103" t="s">
        <v>1269</v>
      </c>
      <c r="K237" s="4" t="str">
        <f aca="false">IF(I237=J237,"✔ sesuai","✖ TIDAK sesuai")</f>
        <v>✔ sesuai</v>
      </c>
      <c r="L237" s="104"/>
    </row>
    <row r="238" customFormat="false" ht="15" hidden="false" customHeight="false" outlineLevel="0" collapsed="false">
      <c r="A238" s="13" t="n">
        <v>232</v>
      </c>
      <c r="B238" s="13" t="s">
        <v>1267</v>
      </c>
      <c r="C238" s="13" t="s">
        <v>1282</v>
      </c>
      <c r="D238" s="13" t="n">
        <v>2025</v>
      </c>
      <c r="E238" s="50" t="n">
        <f aca="false">BS!H47</f>
        <v>3023855511108</v>
      </c>
      <c r="F238" s="50" t="n">
        <f aca="false">BS!H57</f>
        <v>3023855511108</v>
      </c>
      <c r="G238" s="102" t="n">
        <f aca="false">IF(COUNT(E238:F238)=2,E238-F238,"")</f>
        <v>0</v>
      </c>
      <c r="H238" s="103" t="n">
        <v>1</v>
      </c>
      <c r="I238" s="4" t="str">
        <f aca="false">IF(COUNT(E238:F238)&lt;2,"N/A",IF(ABS(G238)&lt;=H238,"OK","❌"))</f>
        <v>OK</v>
      </c>
      <c r="J238" s="103" t="s">
        <v>1269</v>
      </c>
      <c r="K238" s="4" t="str">
        <f aca="false">IF(I238=J238,"✔ sesuai","✖ TIDAK sesuai")</f>
        <v>✔ sesuai</v>
      </c>
      <c r="L238" s="104"/>
    </row>
    <row r="239" customFormat="false" ht="15" hidden="false" customHeight="false" outlineLevel="0" collapsed="false">
      <c r="A239" s="13" t="n">
        <v>233</v>
      </c>
      <c r="B239" s="13" t="s">
        <v>1267</v>
      </c>
      <c r="C239" s="13" t="s">
        <v>1283</v>
      </c>
      <c r="D239" s="13" t="n">
        <v>2025</v>
      </c>
      <c r="E239" s="50" t="n">
        <f aca="false">BS!H48</f>
        <v>4175928930765</v>
      </c>
      <c r="F239" s="50" t="n">
        <f aca="false">BS!H58</f>
        <v>4175928930765</v>
      </c>
      <c r="G239" s="102" t="n">
        <f aca="false">IF(COUNT(E239:F239)=2,E239-F239,"")</f>
        <v>0</v>
      </c>
      <c r="H239" s="103" t="n">
        <v>1</v>
      </c>
      <c r="I239" s="4" t="str">
        <f aca="false">IF(COUNT(E239:F239)&lt;2,"N/A",IF(ABS(G239)&lt;=H239,"OK","❌"))</f>
        <v>OK</v>
      </c>
      <c r="J239" s="103" t="s">
        <v>1269</v>
      </c>
      <c r="K239" s="4" t="str">
        <f aca="false">IF(I239=J239,"✔ sesuai","✖ TIDAK sesuai")</f>
        <v>✔ sesuai</v>
      </c>
      <c r="L239" s="104"/>
    </row>
    <row r="240" customFormat="false" ht="15" hidden="false" customHeight="false" outlineLevel="0" collapsed="false">
      <c r="A240" s="13" t="n">
        <v>234</v>
      </c>
      <c r="B240" s="13" t="s">
        <v>1267</v>
      </c>
      <c r="C240" s="13" t="s">
        <v>1284</v>
      </c>
      <c r="D240" s="13" t="n">
        <v>2025</v>
      </c>
      <c r="E240" s="50" t="n">
        <f aca="false">CF!H10</f>
        <v>105279321597</v>
      </c>
      <c r="F240" s="50" t="n">
        <f aca="false">CF!H45</f>
        <v>105279321597</v>
      </c>
      <c r="G240" s="102" t="n">
        <f aca="false">IF(COUNT(E240:F240)=2,E240-F240,"")</f>
        <v>0</v>
      </c>
      <c r="H240" s="103" t="n">
        <v>1</v>
      </c>
      <c r="I240" s="4" t="str">
        <f aca="false">IF(COUNT(E240:F240)&lt;2,"N/A",IF(ABS(G240)&lt;=H240,"OK","❌"))</f>
        <v>OK</v>
      </c>
      <c r="J240" s="103" t="s">
        <v>1269</v>
      </c>
      <c r="K240" s="4" t="str">
        <f aca="false">IF(I240=J240,"✔ sesuai","✖ TIDAK sesuai")</f>
        <v>✔ sesuai</v>
      </c>
      <c r="L240" s="104"/>
    </row>
    <row r="241" customFormat="false" ht="15" hidden="false" customHeight="false" outlineLevel="0" collapsed="false">
      <c r="A241" s="13" t="n">
        <v>235</v>
      </c>
      <c r="B241" s="13" t="s">
        <v>1267</v>
      </c>
      <c r="C241" s="13" t="s">
        <v>1287</v>
      </c>
      <c r="D241" s="13" t="n">
        <v>2025</v>
      </c>
      <c r="E241" s="50" t="n">
        <f aca="false">CF!H14</f>
        <v>45886904636</v>
      </c>
      <c r="F241" s="50" t="n">
        <f aca="false">CF!H46</f>
        <v>45886904636</v>
      </c>
      <c r="G241" s="102" t="n">
        <f aca="false">IF(COUNT(E241:F241)=2,E241-F241,"")</f>
        <v>0</v>
      </c>
      <c r="H241" s="103" t="n">
        <v>1</v>
      </c>
      <c r="I241" s="4" t="str">
        <f aca="false">IF(COUNT(E241:F241)&lt;2,"N/A",IF(ABS(G241)&lt;=H241,"OK","❌"))</f>
        <v>OK</v>
      </c>
      <c r="J241" s="103" t="s">
        <v>1269</v>
      </c>
      <c r="K241" s="4" t="str">
        <f aca="false">IF(I241=J241,"✔ sesuai","✖ TIDAK sesuai")</f>
        <v>✔ sesuai</v>
      </c>
      <c r="L241" s="104"/>
    </row>
    <row r="242" customFormat="false" ht="15" hidden="false" customHeight="false" outlineLevel="0" collapsed="false">
      <c r="A242" s="13" t="n">
        <v>236</v>
      </c>
      <c r="B242" s="13" t="s">
        <v>1267</v>
      </c>
      <c r="C242" s="13" t="s">
        <v>1288</v>
      </c>
      <c r="D242" s="13" t="n">
        <v>2025</v>
      </c>
      <c r="E242" s="50" t="n">
        <f aca="false">CF!H23</f>
        <v>-218206301905</v>
      </c>
      <c r="F242" s="50" t="n">
        <f aca="false">CF!H47</f>
        <v>-218206301905</v>
      </c>
      <c r="G242" s="102" t="n">
        <f aca="false">IF(COUNT(E242:F242)=2,E242-F242,"")</f>
        <v>0</v>
      </c>
      <c r="H242" s="103" t="n">
        <v>1</v>
      </c>
      <c r="I242" s="4" t="str">
        <f aca="false">IF(COUNT(E242:F242)&lt;2,"N/A",IF(ABS(G242)&lt;=H242,"OK","❌"))</f>
        <v>OK</v>
      </c>
      <c r="J242" s="103" t="s">
        <v>1269</v>
      </c>
      <c r="K242" s="4" t="str">
        <f aca="false">IF(I242=J242,"✔ sesuai","✖ TIDAK sesuai")</f>
        <v>✔ sesuai</v>
      </c>
      <c r="L242" s="104"/>
    </row>
    <row r="243" customFormat="false" ht="15" hidden="false" customHeight="false" outlineLevel="0" collapsed="false">
      <c r="A243" s="13" t="n">
        <v>237</v>
      </c>
      <c r="B243" s="13" t="s">
        <v>1267</v>
      </c>
      <c r="C243" s="13" t="s">
        <v>1289</v>
      </c>
      <c r="D243" s="13" t="n">
        <v>2025</v>
      </c>
      <c r="E243" s="50" t="n">
        <f aca="false">CF!H39</f>
        <v>143453828301</v>
      </c>
      <c r="F243" s="50" t="n">
        <f aca="false">CF!H48</f>
        <v>143453828301</v>
      </c>
      <c r="G243" s="102" t="n">
        <f aca="false">IF(COUNT(E243:F243)=2,E243-F243,"")</f>
        <v>0</v>
      </c>
      <c r="H243" s="103" t="n">
        <v>1</v>
      </c>
      <c r="I243" s="4" t="str">
        <f aca="false">IF(COUNT(E243:F243)&lt;2,"N/A",IF(ABS(G243)&lt;=H243,"OK","❌"))</f>
        <v>OK</v>
      </c>
      <c r="J243" s="103" t="s">
        <v>1269</v>
      </c>
      <c r="K243" s="4" t="str">
        <f aca="false">IF(I243=J243,"✔ sesuai","✖ TIDAK sesuai")</f>
        <v>✔ sesuai</v>
      </c>
      <c r="L243" s="104"/>
    </row>
    <row r="244" customFormat="false" ht="15" hidden="false" customHeight="false" outlineLevel="0" collapsed="false">
      <c r="A244" s="13" t="n">
        <v>238</v>
      </c>
      <c r="B244" s="13" t="s">
        <v>1267</v>
      </c>
      <c r="C244" s="13" t="s">
        <v>1290</v>
      </c>
      <c r="D244" s="13" t="n">
        <v>2025</v>
      </c>
      <c r="E244" s="50" t="n">
        <f aca="false">CF!H40</f>
        <v>-28865568968</v>
      </c>
      <c r="F244" s="50" t="n">
        <f aca="false">CF!H49</f>
        <v>-28865568968</v>
      </c>
      <c r="G244" s="102" t="n">
        <f aca="false">IF(COUNT(E244:F244)=2,E244-F244,"")</f>
        <v>0</v>
      </c>
      <c r="H244" s="103" t="n">
        <v>1</v>
      </c>
      <c r="I244" s="4" t="str">
        <f aca="false">IF(COUNT(E244:F244)&lt;2,"N/A",IF(ABS(G244)&lt;=H244,"OK","❌"))</f>
        <v>OK</v>
      </c>
      <c r="J244" s="103" t="s">
        <v>1269</v>
      </c>
      <c r="K244" s="4" t="str">
        <f aca="false">IF(I244=J244,"✔ sesuai","✖ TIDAK sesuai")</f>
        <v>✔ sesuai</v>
      </c>
      <c r="L244" s="104"/>
    </row>
    <row r="245" customFormat="false" ht="15" hidden="false" customHeight="false" outlineLevel="0" collapsed="false">
      <c r="A245" s="13" t="n">
        <v>239</v>
      </c>
      <c r="B245" s="13" t="s">
        <v>1267</v>
      </c>
      <c r="C245" s="13" t="s">
        <v>1291</v>
      </c>
      <c r="D245" s="13" t="n">
        <v>2025</v>
      </c>
      <c r="E245" s="50" t="n">
        <f aca="false">CF!H43</f>
        <v>420204094763</v>
      </c>
      <c r="F245" s="50" t="n">
        <f aca="false">CF!H50</f>
        <v>420204094763</v>
      </c>
      <c r="G245" s="102" t="n">
        <f aca="false">IF(COUNT(E245:F245)=2,E245-F245,"")</f>
        <v>0</v>
      </c>
      <c r="H245" s="103" t="n">
        <v>1</v>
      </c>
      <c r="I245" s="4" t="str">
        <f aca="false">IF(COUNT(E245:F245)&lt;2,"N/A",IF(ABS(G245)&lt;=H245,"OK","❌"))</f>
        <v>OK</v>
      </c>
      <c r="J245" s="103" t="s">
        <v>1269</v>
      </c>
      <c r="K245" s="4" t="str">
        <f aca="false">IF(I245=J245,"✔ sesuai","✖ TIDAK sesuai")</f>
        <v>✔ sesuai</v>
      </c>
      <c r="L245" s="104"/>
    </row>
    <row r="246" customFormat="false" ht="15" hidden="false" customHeight="false" outlineLevel="0" collapsed="false">
      <c r="A246" s="13" t="n">
        <v>240</v>
      </c>
      <c r="B246" s="13" t="s">
        <v>1292</v>
      </c>
      <c r="C246" s="13" t="s">
        <v>1293</v>
      </c>
      <c r="D246" s="13" t="n">
        <v>2025</v>
      </c>
      <c r="E246" s="50" t="n">
        <f aca="false">BS!H21</f>
        <v>4175928930765</v>
      </c>
      <c r="F246" s="50" t="n">
        <f aca="false">BS!H48</f>
        <v>4175928930765</v>
      </c>
      <c r="G246" s="102" t="n">
        <f aca="false">IF(COUNT(E246:F246)=2,E246-F246,"")</f>
        <v>0</v>
      </c>
      <c r="H246" s="103" t="n">
        <v>1</v>
      </c>
      <c r="I246" s="4" t="str">
        <f aca="false">IF(COUNT(E246:F246)&lt;2,"N/A",IF(ABS(G246)&lt;=H246,"OK","❌"))</f>
        <v>OK</v>
      </c>
      <c r="J246" s="103" t="s">
        <v>1269</v>
      </c>
      <c r="K246" s="4" t="str">
        <f aca="false">IF(I246=J246,"✔ sesuai","✖ TIDAK sesuai")</f>
        <v>✔ sesuai</v>
      </c>
      <c r="L246" s="104"/>
    </row>
    <row r="247" customFormat="false" ht="15" hidden="false" customHeight="false" outlineLevel="0" collapsed="false">
      <c r="A247" s="13" t="n">
        <v>241</v>
      </c>
      <c r="B247" s="13" t="s">
        <v>1292</v>
      </c>
      <c r="C247" s="13" t="s">
        <v>1294</v>
      </c>
      <c r="D247" s="13" t="n">
        <v>2025</v>
      </c>
      <c r="E247" s="50" t="n">
        <f aca="false">IS!H17</f>
        <v>5145566121</v>
      </c>
      <c r="F247" s="50" t="n">
        <f aca="false">IS!H24+IS!H25</f>
        <v>5145566121</v>
      </c>
      <c r="G247" s="102" t="n">
        <f aca="false">IF(COUNT(E247:F247)=2,E247-F247,"")</f>
        <v>0</v>
      </c>
      <c r="H247" s="103" t="n">
        <v>1</v>
      </c>
      <c r="I247" s="4" t="str">
        <f aca="false">IF(COUNT(E247:F247)&lt;2,"N/A",IF(ABS(G247)&lt;=H247,"OK","❌"))</f>
        <v>OK</v>
      </c>
      <c r="J247" s="103" t="s">
        <v>1269</v>
      </c>
      <c r="K247" s="4" t="str">
        <f aca="false">IF(I247=J247,"✔ sesuai","✖ TIDAK sesuai")</f>
        <v>✔ sesuai</v>
      </c>
      <c r="L247" s="104"/>
    </row>
    <row r="248" customFormat="false" ht="15" hidden="false" customHeight="false" outlineLevel="0" collapsed="false">
      <c r="A248" s="13" t="n">
        <v>242</v>
      </c>
      <c r="B248" s="13" t="s">
        <v>1292</v>
      </c>
      <c r="C248" s="13" t="s">
        <v>1295</v>
      </c>
      <c r="D248" s="13" t="n">
        <v>2025</v>
      </c>
      <c r="E248" s="50" t="n">
        <f aca="false">IS!H22</f>
        <v>5468674380</v>
      </c>
      <c r="F248" s="50" t="n">
        <f aca="false">IS!H26+IS!H27</f>
        <v>5468674380</v>
      </c>
      <c r="G248" s="102" t="n">
        <f aca="false">IF(COUNT(E248:F248)=2,E248-F248,"")</f>
        <v>0</v>
      </c>
      <c r="H248" s="103" t="n">
        <v>1</v>
      </c>
      <c r="I248" s="4" t="str">
        <f aca="false">IF(COUNT(E248:F248)&lt;2,"N/A",IF(ABS(G248)&lt;=H248,"OK","❌"))</f>
        <v>OK</v>
      </c>
      <c r="J248" s="103" t="s">
        <v>1269</v>
      </c>
      <c r="K248" s="4" t="str">
        <f aca="false">IF(I248=J248,"✔ sesuai","✖ TIDAK sesuai")</f>
        <v>✔ sesuai</v>
      </c>
      <c r="L248" s="104"/>
    </row>
    <row r="249" customFormat="false" ht="15" hidden="false" customHeight="false" outlineLevel="0" collapsed="false">
      <c r="A249" s="13" t="n">
        <v>243</v>
      </c>
      <c r="B249" s="13" t="s">
        <v>1292</v>
      </c>
      <c r="C249" s="13" t="s">
        <v>1296</v>
      </c>
      <c r="D249" s="13" t="n">
        <v>2025</v>
      </c>
      <c r="E249" s="50" t="n">
        <f aca="false">CF!H43</f>
        <v>420204094763</v>
      </c>
      <c r="F249" s="50" t="n">
        <f aca="false">BS!H6</f>
        <v>420204094763</v>
      </c>
      <c r="G249" s="102" t="n">
        <f aca="false">IF(COUNT(E249:F249)=2,E249-F249,"")</f>
        <v>0</v>
      </c>
      <c r="H249" s="103" t="n">
        <v>1</v>
      </c>
      <c r="I249" s="4" t="str">
        <f aca="false">IF(COUNT(E249:F249)&lt;2,"N/A",IF(ABS(G249)&lt;=H249,"OK","❌"))</f>
        <v>OK</v>
      </c>
      <c r="J249" s="103" t="s">
        <v>1269</v>
      </c>
      <c r="K249" s="4" t="str">
        <f aca="false">IF(I249=J249,"✔ sesuai","✖ TIDAK sesuai")</f>
        <v>✔ sesuai</v>
      </c>
      <c r="L249" s="104"/>
    </row>
    <row r="250" customFormat="false" ht="15" hidden="false" customHeight="false" outlineLevel="0" collapsed="false">
      <c r="A250" s="13" t="n">
        <v>244</v>
      </c>
      <c r="B250" s="13" t="s">
        <v>1292</v>
      </c>
      <c r="C250" s="13" t="s">
        <v>1297</v>
      </c>
      <c r="D250" s="13" t="n">
        <v>2025</v>
      </c>
      <c r="E250" s="61" t="n">
        <v>0</v>
      </c>
      <c r="F250" s="50" t="n">
        <f aca="false">CF!H38</f>
        <v>0</v>
      </c>
      <c r="G250" s="102" t="n">
        <f aca="false">IF(COUNT(E250:F250)=2,E250-F250,"")</f>
        <v>0</v>
      </c>
      <c r="H250" s="103" t="n">
        <v>1</v>
      </c>
      <c r="I250" s="4" t="str">
        <f aca="false">IF(COUNT(E250:F250)&lt;2,"N/A",IF(ABS(G250)&lt;=H250,"OK","❌"))</f>
        <v>OK</v>
      </c>
      <c r="J250" s="103" t="s">
        <v>1269</v>
      </c>
      <c r="K250" s="4" t="str">
        <f aca="false">IF(I250=J250,"✔ sesuai","✖ TIDAK sesuai")</f>
        <v>✔ sesuai</v>
      </c>
      <c r="L250" s="104" t="s">
        <v>1298</v>
      </c>
    </row>
    <row r="251" customFormat="false" ht="15" hidden="false" customHeight="false" outlineLevel="0" collapsed="false">
      <c r="A251" s="13" t="n">
        <v>245</v>
      </c>
      <c r="B251" s="13" t="s">
        <v>1306</v>
      </c>
      <c r="C251" s="13" t="s">
        <v>1307</v>
      </c>
      <c r="D251" s="13" t="n">
        <v>2025</v>
      </c>
      <c r="E251" s="50" t="n">
        <f aca="false">CF!H41</f>
        <v>449069663731</v>
      </c>
      <c r="F251" s="50" t="n">
        <f aca="false">BS!G6</f>
        <v>449069663731</v>
      </c>
      <c r="G251" s="102" t="n">
        <f aca="false">IF(COUNT(E251:F251)=2,E251-F251,"")</f>
        <v>0</v>
      </c>
      <c r="H251" s="103" t="n">
        <v>1</v>
      </c>
      <c r="I251" s="4" t="str">
        <f aca="false">IF(COUNT(E251:F251)&lt;2,"N/A",IF(ABS(G251)&lt;=H251,"OK","❌"))</f>
        <v>OK</v>
      </c>
      <c r="J251" s="103" t="s">
        <v>1269</v>
      </c>
      <c r="K251" s="4" t="str">
        <f aca="false">IF(I251=J251,"✔ sesuai","✖ TIDAK sesuai")</f>
        <v>✔ sesuai</v>
      </c>
      <c r="L251" s="104"/>
    </row>
    <row r="252" customFormat="false" ht="15" hidden="false" customHeight="false" outlineLevel="0" collapsed="false">
      <c r="A252" s="13" t="n">
        <v>246</v>
      </c>
      <c r="B252" s="13" t="s">
        <v>1306</v>
      </c>
      <c r="C252" s="13" t="s">
        <v>1308</v>
      </c>
      <c r="D252" s="13" t="n">
        <v>2025</v>
      </c>
      <c r="E252" s="50" t="n">
        <f aca="false">BS!G44+5275826567+CF!H38+0</f>
        <v>-306241065514</v>
      </c>
      <c r="F252" s="50" t="n">
        <f aca="false">BS!H44</f>
        <v>-306241065514</v>
      </c>
      <c r="G252" s="102" t="n">
        <f aca="false">IF(COUNT(E252:F252)=2,E252-F252,"")</f>
        <v>0</v>
      </c>
      <c r="H252" s="103" t="n">
        <v>1</v>
      </c>
      <c r="I252" s="4" t="str">
        <f aca="false">IF(COUNT(E252:F252)&lt;2,"N/A",IF(ABS(G252)&lt;=H252,"OK","❌"))</f>
        <v>OK</v>
      </c>
      <c r="J252" s="103" t="s">
        <v>1269</v>
      </c>
      <c r="K252" s="4" t="str">
        <f aca="false">IF(I252=J252,"✔ sesuai","✖ TIDAK sesuai")</f>
        <v>✔ sesuai</v>
      </c>
      <c r="L252" s="104" t="s">
        <v>1309</v>
      </c>
    </row>
    <row r="253" customFormat="false" ht="15" hidden="false" customHeight="false" outlineLevel="0" collapsed="false">
      <c r="A253" s="13" t="n">
        <v>247</v>
      </c>
      <c r="B253" s="13" t="s">
        <v>1306</v>
      </c>
      <c r="C253" s="13" t="s">
        <v>1329</v>
      </c>
      <c r="D253" s="13" t="n">
        <v>2025</v>
      </c>
      <c r="E253" s="50" t="n">
        <f aca="false">Schedules!H29</f>
        <v>3432215639882</v>
      </c>
      <c r="F253" s="50" t="n">
        <f aca="false">Schedules!G34</f>
        <v>3432215639882</v>
      </c>
      <c r="G253" s="102" t="n">
        <f aca="false">IF(COUNT(E253:F253)=2,E253-F253,"")</f>
        <v>0</v>
      </c>
      <c r="H253" s="103" t="n">
        <v>1</v>
      </c>
      <c r="I253" s="4" t="str">
        <f aca="false">IF(COUNT(E253:F253)&lt;2,"N/A",IF(ABS(G253)&lt;=H253,"OK","❌"))</f>
        <v>OK</v>
      </c>
      <c r="J253" s="103" t="s">
        <v>1269</v>
      </c>
      <c r="K253" s="4" t="str">
        <f aca="false">IF(I253=J253,"✔ sesuai","✖ TIDAK sesuai")</f>
        <v>✔ sesuai</v>
      </c>
      <c r="L253" s="104"/>
    </row>
    <row r="254" customFormat="false" ht="15" hidden="false" customHeight="false" outlineLevel="0" collapsed="false">
      <c r="A254" s="13" t="n">
        <v>248</v>
      </c>
      <c r="B254" s="13" t="s">
        <v>1306</v>
      </c>
      <c r="C254" s="13" t="s">
        <v>1330</v>
      </c>
      <c r="D254" s="13" t="n">
        <v>2025</v>
      </c>
      <c r="E254" s="50" t="n">
        <f aca="false">Schedules!H37</f>
        <v>174790395878</v>
      </c>
      <c r="F254" s="50" t="n">
        <f aca="false">Schedules!G42</f>
        <v>174790395878</v>
      </c>
      <c r="G254" s="102" t="n">
        <f aca="false">IF(COUNT(E254:F254)=2,E254-F254,"")</f>
        <v>0</v>
      </c>
      <c r="H254" s="103" t="n">
        <v>1</v>
      </c>
      <c r="I254" s="4" t="str">
        <f aca="false">IF(COUNT(E254:F254)&lt;2,"N/A",IF(ABS(G254)&lt;=H254,"OK","❌"))</f>
        <v>OK</v>
      </c>
      <c r="J254" s="103" t="s">
        <v>1269</v>
      </c>
      <c r="K254" s="4" t="str">
        <f aca="false">IF(I254=J254,"✔ sesuai","✖ TIDAK sesuai")</f>
        <v>✔ sesuai</v>
      </c>
      <c r="L254" s="104"/>
    </row>
    <row r="255" customFormat="false" ht="15" hidden="false" customHeight="false" outlineLevel="0" collapsed="false">
      <c r="A255" s="13" t="n">
        <v>249</v>
      </c>
      <c r="B255" s="13" t="s">
        <v>1299</v>
      </c>
      <c r="C255" s="13" t="s">
        <v>1310</v>
      </c>
      <c r="D255" s="13" t="n">
        <v>2025</v>
      </c>
      <c r="E255" s="50" t="n">
        <f aca="false">Schedules!H10</f>
        <v>439751605228</v>
      </c>
      <c r="F255" s="50" t="n">
        <f aca="false">IS!H6</f>
        <v>439751605228</v>
      </c>
      <c r="G255" s="102" t="n">
        <f aca="false">IF(COUNT(E255:F255)=2,E255-F255,"")</f>
        <v>0</v>
      </c>
      <c r="H255" s="103" t="n">
        <v>1</v>
      </c>
      <c r="I255" s="4" t="str">
        <f aca="false">IF(COUNT(E255:F255)&lt;2,"N/A",IF(ABS(G255)&lt;=H255,"OK","❌"))</f>
        <v>OK</v>
      </c>
      <c r="J255" s="103" t="s">
        <v>1269</v>
      </c>
      <c r="K255" s="4" t="str">
        <f aca="false">IF(I255=J255,"✔ sesuai","✖ TIDAK sesuai")</f>
        <v>✔ sesuai</v>
      </c>
      <c r="L255" s="104"/>
    </row>
    <row r="256" customFormat="false" ht="15" hidden="false" customHeight="false" outlineLevel="0" collapsed="false">
      <c r="A256" s="13" t="n">
        <v>250</v>
      </c>
      <c r="B256" s="13" t="s">
        <v>1299</v>
      </c>
      <c r="C256" s="13" t="s">
        <v>1311</v>
      </c>
      <c r="D256" s="13" t="n">
        <v>2025</v>
      </c>
      <c r="E256" s="50" t="n">
        <f aca="false">Schedules!H62</f>
        <v>439751605228</v>
      </c>
      <c r="F256" s="50" t="n">
        <f aca="false">IS!H6</f>
        <v>439751605228</v>
      </c>
      <c r="G256" s="102" t="n">
        <f aca="false">IF(COUNT(E256:F256)=2,E256-F256,"")</f>
        <v>0</v>
      </c>
      <c r="H256" s="103" t="n">
        <v>1</v>
      </c>
      <c r="I256" s="4" t="str">
        <f aca="false">IF(COUNT(E256:F256)&lt;2,"N/A",IF(ABS(G256)&lt;=H256,"OK","❌"))</f>
        <v>OK</v>
      </c>
      <c r="J256" s="103" t="s">
        <v>1269</v>
      </c>
      <c r="K256" s="4" t="str">
        <f aca="false">IF(I256=J256,"✔ sesuai","✖ TIDAK sesuai")</f>
        <v>✔ sesuai</v>
      </c>
      <c r="L256" s="104"/>
    </row>
    <row r="257" customFormat="false" ht="15" hidden="false" customHeight="false" outlineLevel="0" collapsed="false">
      <c r="A257" s="13" t="n">
        <v>251</v>
      </c>
      <c r="B257" s="13" t="s">
        <v>1299</v>
      </c>
      <c r="C257" s="13" t="s">
        <v>1312</v>
      </c>
      <c r="D257" s="13" t="n">
        <v>2025</v>
      </c>
      <c r="E257" s="50" t="n">
        <f aca="false">Schedules!H76</f>
        <v>224594016289</v>
      </c>
      <c r="F257" s="50" t="n">
        <f aca="false">-IS!H7</f>
        <v>224594016289</v>
      </c>
      <c r="G257" s="102" t="n">
        <f aca="false">IF(COUNT(E257:F257)=2,E257-F257,"")</f>
        <v>0</v>
      </c>
      <c r="H257" s="103" t="n">
        <v>1</v>
      </c>
      <c r="I257" s="4" t="str">
        <f aca="false">IF(COUNT(E257:F257)&lt;2,"N/A",IF(ABS(G257)&lt;=H257,"OK","❌"))</f>
        <v>OK</v>
      </c>
      <c r="J257" s="103" t="s">
        <v>1269</v>
      </c>
      <c r="K257" s="4" t="str">
        <f aca="false">IF(I257=J257,"✔ sesuai","✖ TIDAK sesuai")</f>
        <v>✔ sesuai</v>
      </c>
      <c r="L257" s="104"/>
    </row>
    <row r="258" customFormat="false" ht="15" hidden="false" customHeight="false" outlineLevel="0" collapsed="false">
      <c r="A258" s="13" t="n">
        <v>252</v>
      </c>
      <c r="B258" s="13" t="s">
        <v>1299</v>
      </c>
      <c r="C258" s="13" t="s">
        <v>1313</v>
      </c>
      <c r="D258" s="13" t="n">
        <v>2025</v>
      </c>
      <c r="E258" s="50" t="n">
        <f aca="false">Schedules!H99</f>
        <v>145141717485</v>
      </c>
      <c r="F258" s="50" t="n">
        <f aca="false">-IS!H9</f>
        <v>145141717485</v>
      </c>
      <c r="G258" s="102" t="n">
        <f aca="false">IF(COUNT(E258:F258)=2,E258-F258,"")</f>
        <v>0</v>
      </c>
      <c r="H258" s="103" t="n">
        <v>1</v>
      </c>
      <c r="I258" s="4" t="str">
        <f aca="false">IF(COUNT(E258:F258)&lt;2,"N/A",IF(ABS(G258)&lt;=H258,"OK","❌"))</f>
        <v>OK</v>
      </c>
      <c r="J258" s="103" t="s">
        <v>1269</v>
      </c>
      <c r="K258" s="4" t="str">
        <f aca="false">IF(I258=J258,"✔ sesuai","✖ TIDAK sesuai")</f>
        <v>✔ sesuai</v>
      </c>
      <c r="L258" s="104"/>
    </row>
    <row r="259" customFormat="false" ht="15" hidden="false" customHeight="false" outlineLevel="0" collapsed="false">
      <c r="A259" s="13" t="n">
        <v>253</v>
      </c>
      <c r="B259" s="13" t="s">
        <v>1299</v>
      </c>
      <c r="C259" s="13" t="s">
        <v>1314</v>
      </c>
      <c r="D259" s="13" t="n">
        <v>2025</v>
      </c>
      <c r="E259" s="50" t="n">
        <f aca="false">Schedules!H108</f>
        <v>15555391585</v>
      </c>
      <c r="F259" s="50" t="n">
        <f aca="false">IS!H13</f>
        <v>15555391585</v>
      </c>
      <c r="G259" s="102" t="n">
        <f aca="false">IF(COUNT(E259:F259)=2,E259-F259,"")</f>
        <v>0</v>
      </c>
      <c r="H259" s="103" t="n">
        <v>1</v>
      </c>
      <c r="I259" s="4" t="str">
        <f aca="false">IF(COUNT(E259:F259)&lt;2,"N/A",IF(ABS(G259)&lt;=H259,"OK","❌"))</f>
        <v>OK</v>
      </c>
      <c r="J259" s="103" t="s">
        <v>1269</v>
      </c>
      <c r="K259" s="4" t="str">
        <f aca="false">IF(I259=J259,"✔ sesuai","✖ TIDAK sesuai")</f>
        <v>✔ sesuai</v>
      </c>
      <c r="L259" s="104"/>
    </row>
    <row r="260" customFormat="false" ht="15" hidden="false" customHeight="false" outlineLevel="0" collapsed="false">
      <c r="A260" s="13" t="n">
        <v>254</v>
      </c>
      <c r="B260" s="13" t="s">
        <v>1299</v>
      </c>
      <c r="C260" s="13" t="s">
        <v>1315</v>
      </c>
      <c r="D260" s="13" t="n">
        <v>2025</v>
      </c>
      <c r="E260" s="50" t="n">
        <f aca="false">Schedules!H117</f>
        <v>80356964083</v>
      </c>
      <c r="F260" s="50" t="n">
        <f aca="false">-IS!H14</f>
        <v>80356964083</v>
      </c>
      <c r="G260" s="102" t="n">
        <f aca="false">IF(COUNT(E260:F260)=2,E260-F260,"")</f>
        <v>0</v>
      </c>
      <c r="H260" s="103" t="n">
        <v>1</v>
      </c>
      <c r="I260" s="4" t="str">
        <f aca="false">IF(COUNT(E260:F260)&lt;2,"N/A",IF(ABS(G260)&lt;=H260,"OK","❌"))</f>
        <v>OK</v>
      </c>
      <c r="J260" s="103" t="s">
        <v>1269</v>
      </c>
      <c r="K260" s="4" t="str">
        <f aca="false">IF(I260=J260,"✔ sesuai","✖ TIDAK sesuai")</f>
        <v>✔ sesuai</v>
      </c>
      <c r="L260" s="104"/>
    </row>
    <row r="261" customFormat="false" ht="15" hidden="false" customHeight="false" outlineLevel="0" collapsed="false">
      <c r="A261" s="13" t="n">
        <v>255</v>
      </c>
      <c r="B261" s="13" t="s">
        <v>1299</v>
      </c>
      <c r="C261" s="13" t="s">
        <v>1316</v>
      </c>
      <c r="D261" s="13" t="n">
        <v>2025</v>
      </c>
      <c r="E261" s="50" t="n">
        <f aca="false">Schedules!H123</f>
        <v>2857036197</v>
      </c>
      <c r="F261" s="50" t="n">
        <f aca="false">IS!H11</f>
        <v>2857036197</v>
      </c>
      <c r="G261" s="102" t="n">
        <f aca="false">IF(COUNT(E261:F261)=2,E261-F261,"")</f>
        <v>0</v>
      </c>
      <c r="H261" s="103" t="n">
        <v>1</v>
      </c>
      <c r="I261" s="4" t="str">
        <f aca="false">IF(COUNT(E261:F261)&lt;2,"N/A",IF(ABS(G261)&lt;=H261,"OK","❌"))</f>
        <v>OK</v>
      </c>
      <c r="J261" s="103" t="s">
        <v>1269</v>
      </c>
      <c r="K261" s="4" t="str">
        <f aca="false">IF(I261=J261,"✔ sesuai","✖ TIDAK sesuai")</f>
        <v>✔ sesuai</v>
      </c>
      <c r="L261" s="104"/>
    </row>
    <row r="262" customFormat="false" ht="15" hidden="false" customHeight="false" outlineLevel="0" collapsed="false">
      <c r="A262" s="13" t="n">
        <v>256</v>
      </c>
      <c r="B262" s="13" t="s">
        <v>1299</v>
      </c>
      <c r="C262" s="13" t="s">
        <v>1317</v>
      </c>
      <c r="D262" s="13" t="n">
        <v>2025</v>
      </c>
      <c r="E262" s="50" t="n">
        <f aca="false">Schedules!H44</f>
        <v>3272592245462</v>
      </c>
      <c r="F262" s="50" t="n">
        <f aca="false">BS!H16</f>
        <v>3272592245462</v>
      </c>
      <c r="G262" s="102" t="n">
        <f aca="false">IF(COUNT(E262:F262)=2,E262-F262,"")</f>
        <v>0</v>
      </c>
      <c r="H262" s="103" t="n">
        <v>1</v>
      </c>
      <c r="I262" s="4" t="str">
        <f aca="false">IF(COUNT(E262:F262)&lt;2,"N/A",IF(ABS(G262)&lt;=H262,"OK","❌"))</f>
        <v>OK</v>
      </c>
      <c r="J262" s="103" t="s">
        <v>1269</v>
      </c>
      <c r="K262" s="4" t="str">
        <f aca="false">IF(I262=J262,"✔ sesuai","✖ TIDAK sesuai")</f>
        <v>✔ sesuai</v>
      </c>
      <c r="L262" s="104"/>
    </row>
    <row r="263" customFormat="false" ht="15" hidden="false" customHeight="false" outlineLevel="0" collapsed="false">
      <c r="A263" s="13" t="n">
        <v>257</v>
      </c>
      <c r="B263" s="13" t="s">
        <v>1318</v>
      </c>
      <c r="C263" s="13" t="s">
        <v>1319</v>
      </c>
      <c r="D263" s="13" t="n">
        <v>2025</v>
      </c>
      <c r="E263" s="50" t="n">
        <f aca="false">Schedules!H14</f>
        <v>26326052136</v>
      </c>
      <c r="F263" s="50" t="n">
        <f aca="false">Schedules!H15</f>
        <v>26326052136</v>
      </c>
      <c r="G263" s="102" t="n">
        <f aca="false">IF(COUNT(E263:F263)=2,E263-F263,"")</f>
        <v>0</v>
      </c>
      <c r="H263" s="103" t="n">
        <v>1</v>
      </c>
      <c r="I263" s="4" t="str">
        <f aca="false">IF(COUNT(E263:F263)&lt;2,"N/A",IF(ABS(G263)&lt;=H263,"OK","❌"))</f>
        <v>OK</v>
      </c>
      <c r="J263" s="103" t="s">
        <v>1269</v>
      </c>
      <c r="K263" s="4" t="str">
        <f aca="false">IF(I263=J263,"✔ sesuai","✖ TIDAK sesuai")</f>
        <v>✔ sesuai</v>
      </c>
      <c r="L263" s="104"/>
    </row>
    <row r="264" customFormat="false" ht="15" hidden="false" customHeight="false" outlineLevel="0" collapsed="false">
      <c r="A264" s="13" t="n">
        <v>258</v>
      </c>
      <c r="B264" s="13" t="s">
        <v>1318</v>
      </c>
      <c r="C264" s="13" t="s">
        <v>1320</v>
      </c>
      <c r="D264" s="13" t="n">
        <v>2025</v>
      </c>
      <c r="E264" s="50" t="n">
        <f aca="false">Schedules!H35</f>
        <v>3473393704282</v>
      </c>
      <c r="F264" s="50" t="n">
        <f aca="false">Schedules!H34</f>
        <v>3473393704282</v>
      </c>
      <c r="G264" s="102" t="n">
        <f aca="false">IF(COUNT(E264:F264)=2,E264-F264,"")</f>
        <v>0</v>
      </c>
      <c r="H264" s="103" t="n">
        <v>1</v>
      </c>
      <c r="I264" s="4" t="str">
        <f aca="false">IF(COUNT(E264:F264)&lt;2,"N/A",IF(ABS(G264)&lt;=H264,"OK","❌"))</f>
        <v>OK</v>
      </c>
      <c r="J264" s="103" t="s">
        <v>1269</v>
      </c>
      <c r="K264" s="4" t="str">
        <f aca="false">IF(I264=J264,"✔ sesuai","✖ TIDAK sesuai")</f>
        <v>✔ sesuai</v>
      </c>
      <c r="L264" s="104"/>
    </row>
    <row r="265" customFormat="false" ht="15" hidden="false" customHeight="false" outlineLevel="0" collapsed="false">
      <c r="A265" s="13" t="n">
        <v>259</v>
      </c>
      <c r="B265" s="13" t="s">
        <v>1318</v>
      </c>
      <c r="C265" s="13" t="s">
        <v>1321</v>
      </c>
      <c r="D265" s="13" t="n">
        <v>2025</v>
      </c>
      <c r="E265" s="50" t="n">
        <f aca="false">Schedules!H43</f>
        <v>200801458820</v>
      </c>
      <c r="F265" s="50" t="n">
        <f aca="false">Schedules!H42</f>
        <v>200801458820</v>
      </c>
      <c r="G265" s="102" t="n">
        <f aca="false">IF(COUNT(E265:F265)=2,E265-F265,"")</f>
        <v>0</v>
      </c>
      <c r="H265" s="103" t="n">
        <v>1</v>
      </c>
      <c r="I265" s="4" t="str">
        <f aca="false">IF(COUNT(E265:F265)&lt;2,"N/A",IF(ABS(G265)&lt;=H265,"OK","❌"))</f>
        <v>OK</v>
      </c>
      <c r="J265" s="103" t="s">
        <v>1269</v>
      </c>
      <c r="K265" s="4" t="str">
        <f aca="false">IF(I265=J265,"✔ sesuai","✖ TIDAK sesuai")</f>
        <v>✔ sesuai</v>
      </c>
      <c r="L265" s="104"/>
    </row>
    <row r="266" customFormat="false" ht="15" hidden="false" customHeight="false" outlineLevel="0" collapsed="false">
      <c r="A266" s="13" t="n">
        <v>260</v>
      </c>
      <c r="B266" s="13" t="s">
        <v>1318</v>
      </c>
      <c r="C266" s="13" t="s">
        <v>1322</v>
      </c>
      <c r="D266" s="13" t="n">
        <v>2025</v>
      </c>
      <c r="E266" s="50" t="n">
        <f aca="false">Schedules!H65</f>
        <v>439751605228</v>
      </c>
      <c r="F266" s="50" t="n">
        <f aca="false">Schedules!H62</f>
        <v>439751605228</v>
      </c>
      <c r="G266" s="102" t="n">
        <f aca="false">IF(COUNT(E266:F266)=2,E266-F266,"")</f>
        <v>0</v>
      </c>
      <c r="H266" s="103" t="n">
        <v>1</v>
      </c>
      <c r="I266" s="4" t="str">
        <f aca="false">IF(COUNT(E266:F266)&lt;2,"N/A",IF(ABS(G266)&lt;=H266,"OK","❌"))</f>
        <v>OK</v>
      </c>
      <c r="J266" s="103" t="s">
        <v>1269</v>
      </c>
      <c r="K266" s="4" t="str">
        <f aca="false">IF(I266=J266,"✔ sesuai","✖ TIDAK sesuai")</f>
        <v>✔ sesuai</v>
      </c>
      <c r="L266" s="104"/>
    </row>
    <row r="267" customFormat="false" ht="15" hidden="false" customHeight="false" outlineLevel="0" collapsed="false">
      <c r="A267" s="13" t="n">
        <v>261</v>
      </c>
      <c r="B267" s="13" t="s">
        <v>1318</v>
      </c>
      <c r="C267" s="13" t="s">
        <v>1323</v>
      </c>
      <c r="D267" s="13" t="n">
        <v>2025</v>
      </c>
      <c r="E267" s="50" t="n">
        <f aca="false">Schedules!H80</f>
        <v>224594016289</v>
      </c>
      <c r="F267" s="50" t="n">
        <f aca="false">Schedules!H76</f>
        <v>224594016289</v>
      </c>
      <c r="G267" s="102" t="n">
        <f aca="false">IF(COUNT(E267:F267)=2,E267-F267,"")</f>
        <v>0</v>
      </c>
      <c r="H267" s="103" t="n">
        <v>1</v>
      </c>
      <c r="I267" s="4" t="str">
        <f aca="false">IF(COUNT(E267:F267)&lt;2,"N/A",IF(ABS(G267)&lt;=H267,"OK","❌"))</f>
        <v>OK</v>
      </c>
      <c r="J267" s="103" t="s">
        <v>1269</v>
      </c>
      <c r="K267" s="4" t="str">
        <f aca="false">IF(I267=J267,"✔ sesuai","✖ TIDAK sesuai")</f>
        <v>✔ sesuai</v>
      </c>
      <c r="L267" s="104"/>
    </row>
    <row r="268" customFormat="false" ht="15" hidden="false" customHeight="false" outlineLevel="0" collapsed="false">
      <c r="A268" s="13" t="n">
        <v>262</v>
      </c>
      <c r="B268" s="13" t="s">
        <v>1318</v>
      </c>
      <c r="C268" s="13" t="s">
        <v>1324</v>
      </c>
      <c r="D268" s="13" t="n">
        <v>2025</v>
      </c>
      <c r="E268" s="50" t="n">
        <f aca="false">Schedules!H103</f>
        <v>145141717485</v>
      </c>
      <c r="F268" s="50" t="n">
        <f aca="false">Schedules!H99</f>
        <v>145141717485</v>
      </c>
      <c r="G268" s="102" t="n">
        <f aca="false">IF(COUNT(E268:F268)=2,E268-F268,"")</f>
        <v>0</v>
      </c>
      <c r="H268" s="103" t="n">
        <v>1</v>
      </c>
      <c r="I268" s="4" t="str">
        <f aca="false">IF(COUNT(E268:F268)&lt;2,"N/A",IF(ABS(G268)&lt;=H268,"OK","❌"))</f>
        <v>OK</v>
      </c>
      <c r="J268" s="103" t="s">
        <v>1269</v>
      </c>
      <c r="K268" s="4" t="str">
        <f aca="false">IF(I268=J268,"✔ sesuai","✖ TIDAK sesuai")</f>
        <v>✔ sesuai</v>
      </c>
      <c r="L268" s="104"/>
    </row>
    <row r="269" customFormat="false" ht="15" hidden="false" customHeight="false" outlineLevel="0" collapsed="false">
      <c r="A269" s="13" t="n">
        <v>263</v>
      </c>
      <c r="B269" s="13" t="s">
        <v>1318</v>
      </c>
      <c r="C269" s="13" t="s">
        <v>1325</v>
      </c>
      <c r="D269" s="13" t="n">
        <v>2025</v>
      </c>
      <c r="E269" s="50" t="n">
        <f aca="false">Schedules!H110</f>
        <v>15555391585</v>
      </c>
      <c r="F269" s="50" t="n">
        <f aca="false">Schedules!H108</f>
        <v>15555391585</v>
      </c>
      <c r="G269" s="102" t="n">
        <f aca="false">IF(COUNT(E269:F269)=2,E269-F269,"")</f>
        <v>0</v>
      </c>
      <c r="H269" s="103" t="n">
        <v>1</v>
      </c>
      <c r="I269" s="4" t="str">
        <f aca="false">IF(COUNT(E269:F269)&lt;2,"N/A",IF(ABS(G269)&lt;=H269,"OK","❌"))</f>
        <v>OK</v>
      </c>
      <c r="J269" s="103" t="s">
        <v>1269</v>
      </c>
      <c r="K269" s="4" t="str">
        <f aca="false">IF(I269=J269,"✔ sesuai","✖ TIDAK sesuai")</f>
        <v>✔ sesuai</v>
      </c>
      <c r="L269" s="104"/>
    </row>
    <row r="270" customFormat="false" ht="15" hidden="false" customHeight="false" outlineLevel="0" collapsed="false">
      <c r="A270" s="13" t="n">
        <v>264</v>
      </c>
      <c r="B270" s="13" t="s">
        <v>1318</v>
      </c>
      <c r="C270" s="13" t="s">
        <v>1326</v>
      </c>
      <c r="D270" s="13" t="n">
        <v>2025</v>
      </c>
      <c r="E270" s="50" t="n">
        <f aca="false">Schedules!H118</f>
        <v>80356964083</v>
      </c>
      <c r="F270" s="50" t="n">
        <f aca="false">Schedules!H117</f>
        <v>80356964083</v>
      </c>
      <c r="G270" s="102" t="n">
        <f aca="false">IF(COUNT(E270:F270)=2,E270-F270,"")</f>
        <v>0</v>
      </c>
      <c r="H270" s="103" t="n">
        <v>1</v>
      </c>
      <c r="I270" s="4" t="str">
        <f aca="false">IF(COUNT(E270:F270)&lt;2,"N/A",IF(ABS(G270)&lt;=H270,"OK","❌"))</f>
        <v>OK</v>
      </c>
      <c r="J270" s="103" t="s">
        <v>1269</v>
      </c>
      <c r="K270" s="4" t="str">
        <f aca="false">IF(I270=J270,"✔ sesuai","✖ TIDAK sesuai")</f>
        <v>✔ sesuai</v>
      </c>
      <c r="L270" s="104"/>
    </row>
    <row r="271" customFormat="false" ht="15" hidden="false" customHeight="false" outlineLevel="0" collapsed="false">
      <c r="A271" s="13" t="n">
        <v>265</v>
      </c>
      <c r="B271" s="13" t="s">
        <v>1318</v>
      </c>
      <c r="C271" s="13" t="s">
        <v>1327</v>
      </c>
      <c r="D271" s="13" t="n">
        <v>2025</v>
      </c>
      <c r="E271" s="50" t="n">
        <f aca="false">Schedules!H130</f>
        <v>2857036197</v>
      </c>
      <c r="F271" s="50" t="n">
        <f aca="false">Schedules!H123</f>
        <v>2857036197</v>
      </c>
      <c r="G271" s="102" t="n">
        <f aca="false">IF(COUNT(E271:F271)=2,E271-F271,"")</f>
        <v>0</v>
      </c>
      <c r="H271" s="103" t="n">
        <v>1</v>
      </c>
      <c r="I271" s="4" t="str">
        <f aca="false">IF(COUNT(E271:F271)&lt;2,"N/A",IF(ABS(G271)&lt;=H271,"OK","❌"))</f>
        <v>OK</v>
      </c>
      <c r="J271" s="103" t="s">
        <v>1269</v>
      </c>
      <c r="K271" s="4" t="str">
        <f aca="false">IF(I271=J271,"✔ sesuai","✖ TIDAK sesuai")</f>
        <v>✔ sesuai</v>
      </c>
      <c r="L271" s="104"/>
    </row>
    <row r="272" customFormat="false" ht="15" hidden="false" customHeight="false" outlineLevel="0" collapsed="false">
      <c r="A272" s="13" t="n">
        <v>266</v>
      </c>
      <c r="B272" s="13" t="s">
        <v>1302</v>
      </c>
      <c r="C272" s="13" t="s">
        <v>1328</v>
      </c>
      <c r="D272" s="13" t="n">
        <v>2025</v>
      </c>
      <c r="E272" s="50" t="n">
        <f aca="false">IS!H28</f>
        <v>0.15</v>
      </c>
      <c r="F272" s="50" t="n">
        <f aca="false">ROUND(IS!H24/Schedules!H20,2)</f>
        <v>0.15</v>
      </c>
      <c r="G272" s="102" t="n">
        <f aca="false">IF(COUNT(E272:F272)=2,E272-F272,"")</f>
        <v>0</v>
      </c>
      <c r="H272" s="103" t="n">
        <v>1</v>
      </c>
      <c r="I272" s="4" t="str">
        <f aca="false">IF(COUNT(E272:F272)&lt;2,"N/A",IF(ABS(G272)&lt;=H272,"OK","❌"))</f>
        <v>OK</v>
      </c>
      <c r="J272" s="103" t="s">
        <v>1269</v>
      </c>
      <c r="K272" s="4" t="str">
        <f aca="false">IF(I272=J272,"✔ sesuai","✖ TIDAK sesuai")</f>
        <v>✔ sesuai</v>
      </c>
      <c r="L272" s="104"/>
    </row>
    <row r="273" customFormat="false" ht="15" hidden="false" customHeight="false" outlineLevel="0" collapsed="false">
      <c r="A273" s="13" t="n">
        <v>267</v>
      </c>
      <c r="B273" s="13" t="s">
        <v>1331</v>
      </c>
      <c r="C273" s="13" t="s">
        <v>1332</v>
      </c>
      <c r="D273" s="13" t="n">
        <v>2020</v>
      </c>
      <c r="E273" s="61" t="n">
        <v>525479693804</v>
      </c>
      <c r="F273" s="61" t="n">
        <v>525479693804</v>
      </c>
      <c r="G273" s="102" t="n">
        <f aca="false">IF(COUNT(E273:F273)=2,E273-F273,"")</f>
        <v>0</v>
      </c>
      <c r="H273" s="103" t="n">
        <v>1</v>
      </c>
      <c r="I273" s="4" t="str">
        <f aca="false">IF(COUNT(E273:F273)&lt;2,"N/A",IF(ABS(G273)&lt;=H273,"OK","❌"))</f>
        <v>OK</v>
      </c>
      <c r="J273" s="103" t="s">
        <v>1269</v>
      </c>
      <c r="K273" s="4" t="str">
        <f aca="false">IF(I273=J273,"✔ sesuai","✖ TIDAK sesuai")</f>
        <v>✔ sesuai</v>
      </c>
      <c r="L273" s="104" t="s">
        <v>1333</v>
      </c>
    </row>
    <row r="274" customFormat="false" ht="15" hidden="false" customHeight="false" outlineLevel="0" collapsed="false">
      <c r="A274" s="13" t="n">
        <v>268</v>
      </c>
      <c r="B274" s="13" t="s">
        <v>1331</v>
      </c>
      <c r="C274" s="13" t="s">
        <v>1334</v>
      </c>
      <c r="D274" s="13" t="n">
        <v>2020</v>
      </c>
      <c r="E274" s="61" t="n">
        <v>0.43</v>
      </c>
      <c r="F274" s="61" t="n">
        <v>0.51</v>
      </c>
      <c r="G274" s="102" t="n">
        <f aca="false">IF(COUNT(E274:F274)=2,E274-F274,"")</f>
        <v>-0.08</v>
      </c>
      <c r="H274" s="103" t="n">
        <v>1</v>
      </c>
      <c r="I274" s="4" t="str">
        <f aca="false">IF(COUNT(E274:F274)&lt;2,"N/A",IF(ABS(G274)&lt;=H274,"OK","❌"))</f>
        <v>OK</v>
      </c>
      <c r="J274" s="103" t="s">
        <v>1269</v>
      </c>
      <c r="K274" s="4" t="str">
        <f aca="false">IF(I274=J274,"✔ sesuai","✖ TIDAK sesuai")</f>
        <v>✔ sesuai</v>
      </c>
      <c r="L274" s="104" t="s">
        <v>1335</v>
      </c>
    </row>
    <row r="275" customFormat="false" ht="15" hidden="false" customHeight="false" outlineLevel="0" collapsed="false">
      <c r="A275" s="13" t="n">
        <v>269</v>
      </c>
      <c r="B275" s="13" t="s">
        <v>1331</v>
      </c>
      <c r="C275" s="13" t="s">
        <v>1332</v>
      </c>
      <c r="D275" s="13" t="n">
        <v>2021</v>
      </c>
      <c r="E275" s="61" t="n">
        <v>542400475238</v>
      </c>
      <c r="F275" s="61" t="n">
        <v>542400475238</v>
      </c>
      <c r="G275" s="102" t="n">
        <f aca="false">IF(COUNT(E275:F275)=2,E275-F275,"")</f>
        <v>0</v>
      </c>
      <c r="H275" s="103" t="n">
        <v>1</v>
      </c>
      <c r="I275" s="4" t="str">
        <f aca="false">IF(COUNT(E275:F275)&lt;2,"N/A",IF(ABS(G275)&lt;=H275,"OK","❌"))</f>
        <v>OK</v>
      </c>
      <c r="J275" s="103" t="s">
        <v>1269</v>
      </c>
      <c r="K275" s="4" t="str">
        <f aca="false">IF(I275=J275,"✔ sesuai","✖ TIDAK sesuai")</f>
        <v>✔ sesuai</v>
      </c>
      <c r="L275" s="104" t="s">
        <v>1333</v>
      </c>
    </row>
    <row r="276" customFormat="false" ht="15" hidden="false" customHeight="false" outlineLevel="0" collapsed="false">
      <c r="A276" s="13" t="n">
        <v>270</v>
      </c>
      <c r="B276" s="13" t="s">
        <v>1331</v>
      </c>
      <c r="C276" s="13" t="s">
        <v>1336</v>
      </c>
      <c r="D276" s="13" t="n">
        <v>2021</v>
      </c>
      <c r="E276" s="61" t="n">
        <v>525479693804</v>
      </c>
      <c r="F276" s="61" t="n">
        <v>525479693804</v>
      </c>
      <c r="G276" s="102" t="n">
        <f aca="false">IF(COUNT(E276:F276)=2,E276-F276,"")</f>
        <v>0</v>
      </c>
      <c r="H276" s="103" t="n">
        <v>1</v>
      </c>
      <c r="I276" s="4" t="str">
        <f aca="false">IF(COUNT(E276:F276)&lt;2,"N/A",IF(ABS(G276)&lt;=H276,"OK","❌"))</f>
        <v>OK</v>
      </c>
      <c r="J276" s="103" t="s">
        <v>1269</v>
      </c>
      <c r="K276" s="4" t="str">
        <f aca="false">IF(I276=J276,"✔ sesuai","✖ TIDAK sesuai")</f>
        <v>✔ sesuai</v>
      </c>
      <c r="L276" s="104"/>
    </row>
    <row r="277" customFormat="false" ht="15" hidden="false" customHeight="false" outlineLevel="0" collapsed="false">
      <c r="A277" s="13" t="n">
        <v>271</v>
      </c>
      <c r="B277" s="13" t="s">
        <v>1331</v>
      </c>
      <c r="C277" s="13" t="s">
        <v>1334</v>
      </c>
      <c r="D277" s="13" t="n">
        <v>2021</v>
      </c>
      <c r="E277" s="61" t="n">
        <v>0.18</v>
      </c>
      <c r="F277" s="61" t="n">
        <v>0.18</v>
      </c>
      <c r="G277" s="102" t="n">
        <f aca="false">IF(COUNT(E277:F277)=2,E277-F277,"")</f>
        <v>0</v>
      </c>
      <c r="H277" s="103" t="n">
        <v>1</v>
      </c>
      <c r="I277" s="4" t="str">
        <f aca="false">IF(COUNT(E277:F277)&lt;2,"N/A",IF(ABS(G277)&lt;=H277,"OK","❌"))</f>
        <v>OK</v>
      </c>
      <c r="J277" s="103" t="s">
        <v>1269</v>
      </c>
      <c r="K277" s="4" t="str">
        <f aca="false">IF(I277=J277,"✔ sesuai","✖ TIDAK sesuai")</f>
        <v>✔ sesuai</v>
      </c>
      <c r="L277" s="104" t="s">
        <v>1337</v>
      </c>
    </row>
    <row r="278" customFormat="false" ht="15" hidden="false" customHeight="false" outlineLevel="0" collapsed="false">
      <c r="A278" s="13" t="n">
        <v>272</v>
      </c>
      <c r="B278" s="13" t="s">
        <v>1331</v>
      </c>
      <c r="C278" s="13" t="s">
        <v>1332</v>
      </c>
      <c r="D278" s="13" t="n">
        <v>2022</v>
      </c>
      <c r="E278" s="61" t="n">
        <v>533208033479</v>
      </c>
      <c r="F278" s="61" t="n">
        <v>533208033479</v>
      </c>
      <c r="G278" s="102" t="n">
        <f aca="false">IF(COUNT(E278:F278)=2,E278-F278,"")</f>
        <v>0</v>
      </c>
      <c r="H278" s="103" t="n">
        <v>1</v>
      </c>
      <c r="I278" s="4" t="str">
        <f aca="false">IF(COUNT(E278:F278)&lt;2,"N/A",IF(ABS(G278)&lt;=H278,"OK","❌"))</f>
        <v>OK</v>
      </c>
      <c r="J278" s="103" t="s">
        <v>1269</v>
      </c>
      <c r="K278" s="4" t="str">
        <f aca="false">IF(I278=J278,"✔ sesuai","✖ TIDAK sesuai")</f>
        <v>✔ sesuai</v>
      </c>
      <c r="L278" s="104" t="s">
        <v>1333</v>
      </c>
    </row>
    <row r="279" customFormat="false" ht="15" hidden="false" customHeight="false" outlineLevel="0" collapsed="false">
      <c r="A279" s="13" t="n">
        <v>273</v>
      </c>
      <c r="B279" s="13" t="s">
        <v>1331</v>
      </c>
      <c r="C279" s="13" t="s">
        <v>1336</v>
      </c>
      <c r="D279" s="13" t="n">
        <v>2022</v>
      </c>
      <c r="E279" s="61" t="n">
        <v>542400475238</v>
      </c>
      <c r="F279" s="61" t="n">
        <v>542400475238</v>
      </c>
      <c r="G279" s="102" t="n">
        <f aca="false">IF(COUNT(E279:F279)=2,E279-F279,"")</f>
        <v>0</v>
      </c>
      <c r="H279" s="103" t="n">
        <v>1</v>
      </c>
      <c r="I279" s="4" t="str">
        <f aca="false">IF(COUNT(E279:F279)&lt;2,"N/A",IF(ABS(G279)&lt;=H279,"OK","❌"))</f>
        <v>OK</v>
      </c>
      <c r="J279" s="103" t="s">
        <v>1269</v>
      </c>
      <c r="K279" s="4" t="str">
        <f aca="false">IF(I279=J279,"✔ sesuai","✖ TIDAK sesuai")</f>
        <v>✔ sesuai</v>
      </c>
      <c r="L279" s="104"/>
    </row>
    <row r="280" customFormat="false" ht="15" hidden="false" customHeight="false" outlineLevel="0" collapsed="false">
      <c r="A280" s="13" t="n">
        <v>274</v>
      </c>
      <c r="B280" s="13" t="s">
        <v>1331</v>
      </c>
      <c r="C280" s="13" t="s">
        <v>1334</v>
      </c>
      <c r="D280" s="13" t="n">
        <v>2022</v>
      </c>
      <c r="E280" s="61" t="n">
        <v>-2.81</v>
      </c>
      <c r="F280" s="61" t="n">
        <v>-2.81</v>
      </c>
      <c r="G280" s="102" t="n">
        <f aca="false">IF(COUNT(E280:F280)=2,E280-F280,"")</f>
        <v>0</v>
      </c>
      <c r="H280" s="103" t="n">
        <v>1</v>
      </c>
      <c r="I280" s="4" t="str">
        <f aca="false">IF(COUNT(E280:F280)&lt;2,"N/A",IF(ABS(G280)&lt;=H280,"OK","❌"))</f>
        <v>OK</v>
      </c>
      <c r="J280" s="103" t="s">
        <v>1269</v>
      </c>
      <c r="K280" s="4" t="str">
        <f aca="false">IF(I280=J280,"✔ sesuai","✖ TIDAK sesuai")</f>
        <v>✔ sesuai</v>
      </c>
      <c r="L280" s="104" t="s">
        <v>1337</v>
      </c>
    </row>
    <row r="281" customFormat="false" ht="15" hidden="false" customHeight="false" outlineLevel="0" collapsed="false">
      <c r="A281" s="13" t="n">
        <v>275</v>
      </c>
      <c r="B281" s="13" t="s">
        <v>1331</v>
      </c>
      <c r="C281" s="13" t="s">
        <v>1332</v>
      </c>
      <c r="D281" s="13" t="n">
        <v>2023</v>
      </c>
      <c r="E281" s="61" t="n">
        <v>525762948837</v>
      </c>
      <c r="F281" s="61" t="n">
        <v>525762948837</v>
      </c>
      <c r="G281" s="102" t="n">
        <f aca="false">IF(COUNT(E281:F281)=2,E281-F281,"")</f>
        <v>0</v>
      </c>
      <c r="H281" s="103" t="n">
        <v>1</v>
      </c>
      <c r="I281" s="4" t="str">
        <f aca="false">IF(COUNT(E281:F281)&lt;2,"N/A",IF(ABS(G281)&lt;=H281,"OK","❌"))</f>
        <v>OK</v>
      </c>
      <c r="J281" s="103" t="s">
        <v>1269</v>
      </c>
      <c r="K281" s="4" t="str">
        <f aca="false">IF(I281=J281,"✔ sesuai","✖ TIDAK sesuai")</f>
        <v>✔ sesuai</v>
      </c>
      <c r="L281" s="104" t="s">
        <v>1333</v>
      </c>
    </row>
    <row r="282" customFormat="false" ht="15" hidden="false" customHeight="false" outlineLevel="0" collapsed="false">
      <c r="A282" s="13" t="n">
        <v>276</v>
      </c>
      <c r="B282" s="13" t="s">
        <v>1331</v>
      </c>
      <c r="C282" s="13" t="s">
        <v>1336</v>
      </c>
      <c r="D282" s="13" t="n">
        <v>2023</v>
      </c>
      <c r="E282" s="61" t="n">
        <v>533208033479</v>
      </c>
      <c r="F282" s="61" t="n">
        <v>533208033479</v>
      </c>
      <c r="G282" s="102" t="n">
        <f aca="false">IF(COUNT(E282:F282)=2,E282-F282,"")</f>
        <v>0</v>
      </c>
      <c r="H282" s="103" t="n">
        <v>1</v>
      </c>
      <c r="I282" s="4" t="str">
        <f aca="false">IF(COUNT(E282:F282)&lt;2,"N/A",IF(ABS(G282)&lt;=H282,"OK","❌"))</f>
        <v>OK</v>
      </c>
      <c r="J282" s="103" t="s">
        <v>1269</v>
      </c>
      <c r="K282" s="4" t="str">
        <f aca="false">IF(I282=J282,"✔ sesuai","✖ TIDAK sesuai")</f>
        <v>✔ sesuai</v>
      </c>
      <c r="L282" s="104"/>
    </row>
    <row r="283" customFormat="false" ht="15" hidden="false" customHeight="false" outlineLevel="0" collapsed="false">
      <c r="A283" s="13" t="n">
        <v>277</v>
      </c>
      <c r="B283" s="13" t="s">
        <v>1331</v>
      </c>
      <c r="C283" s="13" t="s">
        <v>1334</v>
      </c>
      <c r="D283" s="13" t="n">
        <v>2023</v>
      </c>
      <c r="E283" s="61" t="n">
        <v>-3.34</v>
      </c>
      <c r="F283" s="61" t="n">
        <v>-3.34</v>
      </c>
      <c r="G283" s="102" t="n">
        <f aca="false">IF(COUNT(E283:F283)=2,E283-F283,"")</f>
        <v>0</v>
      </c>
      <c r="H283" s="103" t="n">
        <v>1</v>
      </c>
      <c r="I283" s="4" t="str">
        <f aca="false">IF(COUNT(E283:F283)&lt;2,"N/A",IF(ABS(G283)&lt;=H283,"OK","❌"))</f>
        <v>OK</v>
      </c>
      <c r="J283" s="103" t="s">
        <v>1269</v>
      </c>
      <c r="K283" s="4" t="str">
        <f aca="false">IF(I283=J283,"✔ sesuai","✖ TIDAK sesuai")</f>
        <v>✔ sesuai</v>
      </c>
      <c r="L283" s="104" t="s">
        <v>1337</v>
      </c>
    </row>
    <row r="284" customFormat="false" ht="15" hidden="false" customHeight="false" outlineLevel="0" collapsed="false">
      <c r="A284" s="13" t="n">
        <v>278</v>
      </c>
      <c r="B284" s="13" t="s">
        <v>1331</v>
      </c>
      <c r="C284" s="13" t="s">
        <v>1332</v>
      </c>
      <c r="D284" s="13" t="n">
        <v>2024</v>
      </c>
      <c r="E284" s="61" t="n">
        <v>449069663731</v>
      </c>
      <c r="F284" s="61" t="n">
        <v>449069663731</v>
      </c>
      <c r="G284" s="102" t="n">
        <f aca="false">IF(COUNT(E284:F284)=2,E284-F284,"")</f>
        <v>0</v>
      </c>
      <c r="H284" s="103" t="n">
        <v>1</v>
      </c>
      <c r="I284" s="4" t="str">
        <f aca="false">IF(COUNT(E284:F284)&lt;2,"N/A",IF(ABS(G284)&lt;=H284,"OK","❌"))</f>
        <v>OK</v>
      </c>
      <c r="J284" s="103" t="s">
        <v>1269</v>
      </c>
      <c r="K284" s="4" t="str">
        <f aca="false">IF(I284=J284,"✔ sesuai","✖ TIDAK sesuai")</f>
        <v>✔ sesuai</v>
      </c>
      <c r="L284" s="104" t="s">
        <v>1333</v>
      </c>
    </row>
    <row r="285" customFormat="false" ht="15" hidden="false" customHeight="false" outlineLevel="0" collapsed="false">
      <c r="A285" s="13" t="n">
        <v>279</v>
      </c>
      <c r="B285" s="13" t="s">
        <v>1331</v>
      </c>
      <c r="C285" s="13" t="s">
        <v>1336</v>
      </c>
      <c r="D285" s="13" t="n">
        <v>2024</v>
      </c>
      <c r="E285" s="61" t="n">
        <v>525762948837</v>
      </c>
      <c r="F285" s="61" t="n">
        <v>525762948837</v>
      </c>
      <c r="G285" s="102" t="n">
        <f aca="false">IF(COUNT(E285:F285)=2,E285-F285,"")</f>
        <v>0</v>
      </c>
      <c r="H285" s="103" t="n">
        <v>1</v>
      </c>
      <c r="I285" s="4" t="str">
        <f aca="false">IF(COUNT(E285:F285)&lt;2,"N/A",IF(ABS(G285)&lt;=H285,"OK","❌"))</f>
        <v>OK</v>
      </c>
      <c r="J285" s="103" t="s">
        <v>1269</v>
      </c>
      <c r="K285" s="4" t="str">
        <f aca="false">IF(I285=J285,"✔ sesuai","✖ TIDAK sesuai")</f>
        <v>✔ sesuai</v>
      </c>
      <c r="L285" s="104"/>
    </row>
    <row r="286" customFormat="false" ht="15" hidden="false" customHeight="false" outlineLevel="0" collapsed="false">
      <c r="A286" s="13" t="n">
        <v>280</v>
      </c>
      <c r="B286" s="13" t="s">
        <v>1331</v>
      </c>
      <c r="C286" s="13" t="s">
        <v>1334</v>
      </c>
      <c r="D286" s="13" t="n">
        <v>2024</v>
      </c>
      <c r="E286" s="61" t="n">
        <v>-2.42</v>
      </c>
      <c r="F286" s="61" t="n">
        <v>-2.42</v>
      </c>
      <c r="G286" s="102" t="n">
        <f aca="false">IF(COUNT(E286:F286)=2,E286-F286,"")</f>
        <v>0</v>
      </c>
      <c r="H286" s="103" t="n">
        <v>1</v>
      </c>
      <c r="I286" s="4" t="str">
        <f aca="false">IF(COUNT(E286:F286)&lt;2,"N/A",IF(ABS(G286)&lt;=H286,"OK","❌"))</f>
        <v>OK</v>
      </c>
      <c r="J286" s="103" t="s">
        <v>1269</v>
      </c>
      <c r="K286" s="4" t="str">
        <f aca="false">IF(I286=J286,"✔ sesuai","✖ TIDAK sesuai")</f>
        <v>✔ sesuai</v>
      </c>
      <c r="L286" s="104" t="s">
        <v>1337</v>
      </c>
    </row>
    <row r="287" customFormat="false" ht="15" hidden="false" customHeight="false" outlineLevel="0" collapsed="false">
      <c r="A287" s="13" t="n">
        <v>281</v>
      </c>
      <c r="B287" s="13" t="s">
        <v>1331</v>
      </c>
      <c r="C287" s="13" t="s">
        <v>1332</v>
      </c>
      <c r="D287" s="13" t="n">
        <v>2025</v>
      </c>
      <c r="E287" s="61" t="n">
        <v>420204094763</v>
      </c>
      <c r="F287" s="61" t="n">
        <v>420204094763</v>
      </c>
      <c r="G287" s="102" t="n">
        <f aca="false">IF(COUNT(E287:F287)=2,E287-F287,"")</f>
        <v>0</v>
      </c>
      <c r="H287" s="103" t="n">
        <v>1</v>
      </c>
      <c r="I287" s="4" t="str">
        <f aca="false">IF(COUNT(E287:F287)&lt;2,"N/A",IF(ABS(G287)&lt;=H287,"OK","❌"))</f>
        <v>OK</v>
      </c>
      <c r="J287" s="103" t="s">
        <v>1269</v>
      </c>
      <c r="K287" s="4" t="str">
        <f aca="false">IF(I287=J287,"✔ sesuai","✖ TIDAK sesuai")</f>
        <v>✔ sesuai</v>
      </c>
      <c r="L287" s="104" t="s">
        <v>1333</v>
      </c>
    </row>
    <row r="288" customFormat="false" ht="15" hidden="false" customHeight="false" outlineLevel="0" collapsed="false">
      <c r="A288" s="13" t="n">
        <v>282</v>
      </c>
      <c r="B288" s="13" t="s">
        <v>1331</v>
      </c>
      <c r="C288" s="13" t="s">
        <v>1336</v>
      </c>
      <c r="D288" s="13" t="n">
        <v>2025</v>
      </c>
      <c r="E288" s="61" t="n">
        <v>449069663731</v>
      </c>
      <c r="F288" s="61" t="n">
        <v>449069663731</v>
      </c>
      <c r="G288" s="102" t="n">
        <f aca="false">IF(COUNT(E288:F288)=2,E288-F288,"")</f>
        <v>0</v>
      </c>
      <c r="H288" s="103" t="n">
        <v>1</v>
      </c>
      <c r="I288" s="4" t="str">
        <f aca="false">IF(COUNT(E288:F288)&lt;2,"N/A",IF(ABS(G288)&lt;=H288,"OK","❌"))</f>
        <v>OK</v>
      </c>
      <c r="J288" s="103" t="s">
        <v>1269</v>
      </c>
      <c r="K288" s="4" t="str">
        <f aca="false">IF(I288=J288,"✔ sesuai","✖ TIDAK sesuai")</f>
        <v>✔ sesuai</v>
      </c>
      <c r="L288" s="104"/>
    </row>
    <row r="289" customFormat="false" ht="15" hidden="false" customHeight="false" outlineLevel="0" collapsed="false">
      <c r="A289" s="13" t="n">
        <v>283</v>
      </c>
      <c r="B289" s="13" t="s">
        <v>1331</v>
      </c>
      <c r="C289" s="13" t="s">
        <v>1334</v>
      </c>
      <c r="D289" s="13" t="n">
        <v>2025</v>
      </c>
      <c r="E289" s="61" t="n">
        <v>0.15</v>
      </c>
      <c r="F289" s="61" t="n">
        <v>0.15</v>
      </c>
      <c r="G289" s="102" t="n">
        <f aca="false">IF(COUNT(E289:F289)=2,E289-F289,"")</f>
        <v>0</v>
      </c>
      <c r="H289" s="103" t="n">
        <v>1</v>
      </c>
      <c r="I289" s="4" t="str">
        <f aca="false">IF(COUNT(E289:F289)&lt;2,"N/A",IF(ABS(G289)&lt;=H289,"OK","❌"))</f>
        <v>OK</v>
      </c>
      <c r="J289" s="103" t="s">
        <v>1269</v>
      </c>
      <c r="K289" s="4" t="str">
        <f aca="false">IF(I289=J289,"✔ sesuai","✖ TIDAK sesuai")</f>
        <v>✔ sesuai</v>
      </c>
      <c r="L289" s="104" t="s">
        <v>1337</v>
      </c>
    </row>
    <row r="290" customFormat="false" ht="15" hidden="false" customHeight="false" outlineLevel="0" collapsed="false">
      <c r="A290" s="13" t="n">
        <v>284</v>
      </c>
      <c r="B290" s="13" t="s">
        <v>1331</v>
      </c>
      <c r="C290" s="13" t="s">
        <v>1338</v>
      </c>
      <c r="D290" s="13" t="n">
        <v>2020</v>
      </c>
      <c r="E290" s="61" t="n">
        <v>-38449339396</v>
      </c>
      <c r="F290" s="61" t="n">
        <v>-38449339396</v>
      </c>
      <c r="G290" s="102" t="n">
        <f aca="false">IF(COUNT(E290:F290)=2,E290-F290,"")</f>
        <v>0</v>
      </c>
      <c r="H290" s="103" t="n">
        <v>1</v>
      </c>
      <c r="I290" s="4" t="str">
        <f aca="false">IF(COUNT(E290:F290)&lt;2,"N/A",IF(ABS(G290)&lt;=H290,"OK","❌"))</f>
        <v>OK</v>
      </c>
      <c r="J290" s="103" t="s">
        <v>1269</v>
      </c>
      <c r="K290" s="4" t="str">
        <f aca="false">IF(I290=J290,"✔ sesuai","✖ TIDAK sesuai")</f>
        <v>✔ sesuai</v>
      </c>
      <c r="L290" s="104" t="s">
        <v>1339</v>
      </c>
    </row>
    <row r="291" customFormat="false" ht="15" hidden="false" customHeight="false" outlineLevel="0" collapsed="false">
      <c r="A291" s="13" t="n">
        <v>285</v>
      </c>
      <c r="B291" s="13" t="s">
        <v>1331</v>
      </c>
      <c r="C291" s="13" t="s">
        <v>1340</v>
      </c>
      <c r="D291" s="13" t="n">
        <v>2020</v>
      </c>
      <c r="E291" s="61" t="n">
        <v>922619320</v>
      </c>
      <c r="F291" s="61" t="n">
        <v>922619320</v>
      </c>
      <c r="G291" s="102" t="n">
        <f aca="false">IF(COUNT(E291:F291)=2,E291-F291,"")</f>
        <v>0</v>
      </c>
      <c r="H291" s="103" t="n">
        <v>1</v>
      </c>
      <c r="I291" s="4" t="str">
        <f aca="false">IF(COUNT(E291:F291)&lt;2,"N/A",IF(ABS(G291)&lt;=H291,"OK","❌"))</f>
        <v>OK</v>
      </c>
      <c r="J291" s="103" t="s">
        <v>1269</v>
      </c>
      <c r="K291" s="4" t="str">
        <f aca="false">IF(I291=J291,"✔ sesuai","✖ TIDAK sesuai")</f>
        <v>✔ sesuai</v>
      </c>
      <c r="L291" s="104"/>
    </row>
    <row r="292" customFormat="false" ht="15" hidden="false" customHeight="false" outlineLevel="0" collapsed="false">
      <c r="A292" s="13" t="n">
        <v>286</v>
      </c>
      <c r="B292" s="13" t="s">
        <v>1331</v>
      </c>
      <c r="C292" s="13" t="s">
        <v>1338</v>
      </c>
      <c r="D292" s="13" t="n">
        <v>2021</v>
      </c>
      <c r="E292" s="61" t="n">
        <v>-31033031403</v>
      </c>
      <c r="F292" s="61" t="n">
        <v>-31033031403</v>
      </c>
      <c r="G292" s="102" t="n">
        <f aca="false">IF(COUNT(E292:F292)=2,E292-F292,"")</f>
        <v>0</v>
      </c>
      <c r="H292" s="103" t="n">
        <v>1</v>
      </c>
      <c r="I292" s="4" t="str">
        <f aca="false">IF(COUNT(E292:F292)&lt;2,"N/A",IF(ABS(G292)&lt;=H292,"OK","❌"))</f>
        <v>OK</v>
      </c>
      <c r="J292" s="103" t="s">
        <v>1269</v>
      </c>
      <c r="K292" s="4" t="str">
        <f aca="false">IF(I292=J292,"✔ sesuai","✖ TIDAK sesuai")</f>
        <v>✔ sesuai</v>
      </c>
      <c r="L292" s="104" t="s">
        <v>1341</v>
      </c>
    </row>
    <row r="293" customFormat="false" ht="15" hidden="false" customHeight="false" outlineLevel="0" collapsed="false">
      <c r="A293" s="13" t="n">
        <v>287</v>
      </c>
      <c r="B293" s="13" t="s">
        <v>1331</v>
      </c>
      <c r="C293" s="13" t="s">
        <v>1340</v>
      </c>
      <c r="D293" s="13" t="n">
        <v>2021</v>
      </c>
      <c r="E293" s="61" t="n">
        <v>1016715908</v>
      </c>
      <c r="F293" s="61" t="n">
        <v>1016715908</v>
      </c>
      <c r="G293" s="102" t="n">
        <f aca="false">IF(COUNT(E293:F293)=2,E293-F293,"")</f>
        <v>0</v>
      </c>
      <c r="H293" s="103" t="n">
        <v>1</v>
      </c>
      <c r="I293" s="4" t="str">
        <f aca="false">IF(COUNT(E293:F293)&lt;2,"N/A",IF(ABS(G293)&lt;=H293,"OK","❌"))</f>
        <v>OK</v>
      </c>
      <c r="J293" s="103" t="s">
        <v>1269</v>
      </c>
      <c r="K293" s="4" t="str">
        <f aca="false">IF(I293=J293,"✔ sesuai","✖ TIDAK sesuai")</f>
        <v>✔ sesuai</v>
      </c>
      <c r="L293" s="104"/>
    </row>
    <row r="294" customFormat="false" ht="15" hidden="false" customHeight="false" outlineLevel="0" collapsed="false">
      <c r="A294" s="13" t="n">
        <v>288</v>
      </c>
      <c r="B294" s="13" t="s">
        <v>1331</v>
      </c>
      <c r="C294" s="13" t="s">
        <v>1338</v>
      </c>
      <c r="D294" s="13" t="n">
        <v>2022</v>
      </c>
      <c r="E294" s="61" t="n">
        <v>-122376092871</v>
      </c>
      <c r="F294" s="61" t="n">
        <v>-122376092871</v>
      </c>
      <c r="G294" s="102" t="n">
        <f aca="false">IF(COUNT(E294:F294)=2,E294-F294,"")</f>
        <v>0</v>
      </c>
      <c r="H294" s="103" t="n">
        <v>1</v>
      </c>
      <c r="I294" s="4" t="str">
        <f aca="false">IF(COUNT(E294:F294)&lt;2,"N/A",IF(ABS(G294)&lt;=H294,"OK","❌"))</f>
        <v>OK</v>
      </c>
      <c r="J294" s="103" t="s">
        <v>1269</v>
      </c>
      <c r="K294" s="4" t="str">
        <f aca="false">IF(I294=J294,"✔ sesuai","✖ TIDAK sesuai")</f>
        <v>✔ sesuai</v>
      </c>
      <c r="L294" s="104" t="s">
        <v>1341</v>
      </c>
    </row>
    <row r="295" customFormat="false" ht="15" hidden="false" customHeight="false" outlineLevel="0" collapsed="false">
      <c r="A295" s="13" t="n">
        <v>289</v>
      </c>
      <c r="B295" s="13" t="s">
        <v>1331</v>
      </c>
      <c r="C295" s="13" t="s">
        <v>1340</v>
      </c>
      <c r="D295" s="13" t="n">
        <v>2022</v>
      </c>
      <c r="E295" s="61" t="n">
        <v>983736061</v>
      </c>
      <c r="F295" s="61" t="n">
        <v>983736061</v>
      </c>
      <c r="G295" s="102" t="n">
        <f aca="false">IF(COUNT(E295:F295)=2,E295-F295,"")</f>
        <v>0</v>
      </c>
      <c r="H295" s="103" t="n">
        <v>1</v>
      </c>
      <c r="I295" s="4" t="str">
        <f aca="false">IF(COUNT(E295:F295)&lt;2,"N/A",IF(ABS(G295)&lt;=H295,"OK","❌"))</f>
        <v>OK</v>
      </c>
      <c r="J295" s="103" t="s">
        <v>1269</v>
      </c>
      <c r="K295" s="4" t="str">
        <f aca="false">IF(I295=J295,"✔ sesuai","✖ TIDAK sesuai")</f>
        <v>✔ sesuai</v>
      </c>
      <c r="L295" s="104"/>
    </row>
    <row r="296" customFormat="false" ht="15" hidden="false" customHeight="false" outlineLevel="0" collapsed="false">
      <c r="A296" s="13" t="n">
        <v>290</v>
      </c>
      <c r="B296" s="13" t="s">
        <v>1331</v>
      </c>
      <c r="C296" s="13" t="s">
        <v>1338</v>
      </c>
      <c r="D296" s="13" t="n">
        <v>2023</v>
      </c>
      <c r="E296" s="61" t="n">
        <v>-231784665472</v>
      </c>
      <c r="F296" s="61" t="n">
        <v>-231784665472</v>
      </c>
      <c r="G296" s="102" t="n">
        <f aca="false">IF(COUNT(E296:F296)=2,E296-F296,"")</f>
        <v>0</v>
      </c>
      <c r="H296" s="103" t="n">
        <v>1</v>
      </c>
      <c r="I296" s="4" t="str">
        <f aca="false">IF(COUNT(E296:F296)&lt;2,"N/A",IF(ABS(G296)&lt;=H296,"OK","❌"))</f>
        <v>OK</v>
      </c>
      <c r="J296" s="103" t="s">
        <v>1269</v>
      </c>
      <c r="K296" s="4" t="str">
        <f aca="false">IF(I296=J296,"✔ sesuai","✖ TIDAK sesuai")</f>
        <v>✔ sesuai</v>
      </c>
      <c r="L296" s="104" t="s">
        <v>1341</v>
      </c>
    </row>
    <row r="297" customFormat="false" ht="15" hidden="false" customHeight="false" outlineLevel="0" collapsed="false">
      <c r="A297" s="13" t="n">
        <v>291</v>
      </c>
      <c r="B297" s="13" t="s">
        <v>1331</v>
      </c>
      <c r="C297" s="13" t="s">
        <v>1340</v>
      </c>
      <c r="D297" s="13" t="n">
        <v>2023</v>
      </c>
      <c r="E297" s="61" t="n">
        <v>1224514141</v>
      </c>
      <c r="F297" s="61" t="n">
        <v>1224514141</v>
      </c>
      <c r="G297" s="102" t="n">
        <f aca="false">IF(COUNT(E297:F297)=2,E297-F297,"")</f>
        <v>0</v>
      </c>
      <c r="H297" s="103" t="n">
        <v>1</v>
      </c>
      <c r="I297" s="4" t="str">
        <f aca="false">IF(COUNT(E297:F297)&lt;2,"N/A",IF(ABS(G297)&lt;=H297,"OK","❌"))</f>
        <v>OK</v>
      </c>
      <c r="J297" s="103" t="s">
        <v>1269</v>
      </c>
      <c r="K297" s="4" t="str">
        <f aca="false">IF(I297=J297,"✔ sesuai","✖ TIDAK sesuai")</f>
        <v>✔ sesuai</v>
      </c>
      <c r="L297" s="104"/>
    </row>
    <row r="298" customFormat="false" ht="15" hidden="false" customHeight="false" outlineLevel="0" collapsed="false">
      <c r="A298" s="13" t="n">
        <v>292</v>
      </c>
      <c r="B298" s="13" t="s">
        <v>1331</v>
      </c>
      <c r="C298" s="13" t="s">
        <v>1338</v>
      </c>
      <c r="D298" s="13" t="n">
        <v>2024</v>
      </c>
      <c r="E298" s="61" t="n">
        <v>-311516892081</v>
      </c>
      <c r="F298" s="61" t="n">
        <v>-311516892081</v>
      </c>
      <c r="G298" s="102" t="n">
        <f aca="false">IF(COUNT(E298:F298)=2,E298-F298,"")</f>
        <v>0</v>
      </c>
      <c r="H298" s="103" t="n">
        <v>1</v>
      </c>
      <c r="I298" s="4" t="str">
        <f aca="false">IF(COUNT(E298:F298)&lt;2,"N/A",IF(ABS(G298)&lt;=H298,"OK","❌"))</f>
        <v>OK</v>
      </c>
      <c r="J298" s="103" t="s">
        <v>1269</v>
      </c>
      <c r="K298" s="4" t="str">
        <f aca="false">IF(I298=J298,"✔ sesuai","✖ TIDAK sesuai")</f>
        <v>✔ sesuai</v>
      </c>
      <c r="L298" s="104" t="s">
        <v>1341</v>
      </c>
    </row>
    <row r="299" customFormat="false" ht="15" hidden="false" customHeight="false" outlineLevel="0" collapsed="false">
      <c r="A299" s="13" t="n">
        <v>293</v>
      </c>
      <c r="B299" s="13" t="s">
        <v>1331</v>
      </c>
      <c r="C299" s="13" t="s">
        <v>1340</v>
      </c>
      <c r="D299" s="13" t="n">
        <v>2024</v>
      </c>
      <c r="E299" s="61" t="n">
        <v>1619569477</v>
      </c>
      <c r="F299" s="61" t="n">
        <v>1619569477</v>
      </c>
      <c r="G299" s="102" t="n">
        <f aca="false">IF(COUNT(E299:F299)=2,E299-F299,"")</f>
        <v>0</v>
      </c>
      <c r="H299" s="103" t="n">
        <v>1</v>
      </c>
      <c r="I299" s="4" t="str">
        <f aca="false">IF(COUNT(E299:F299)&lt;2,"N/A",IF(ABS(G299)&lt;=H299,"OK","❌"))</f>
        <v>OK</v>
      </c>
      <c r="J299" s="103" t="s">
        <v>1269</v>
      </c>
      <c r="K299" s="4" t="str">
        <f aca="false">IF(I299=J299,"✔ sesuai","✖ TIDAK sesuai")</f>
        <v>✔ sesuai</v>
      </c>
      <c r="L299" s="104"/>
    </row>
    <row r="300" customFormat="false" ht="15" hidden="false" customHeight="false" outlineLevel="0" collapsed="false">
      <c r="A300" s="13" t="n">
        <v>294</v>
      </c>
      <c r="B300" s="13" t="s">
        <v>1331</v>
      </c>
      <c r="C300" s="13" t="s">
        <v>1338</v>
      </c>
      <c r="D300" s="13" t="n">
        <v>2025</v>
      </c>
      <c r="E300" s="61" t="n">
        <v>-306241065514</v>
      </c>
      <c r="F300" s="61" t="n">
        <v>-306241065514</v>
      </c>
      <c r="G300" s="102" t="n">
        <f aca="false">IF(COUNT(E300:F300)=2,E300-F300,"")</f>
        <v>0</v>
      </c>
      <c r="H300" s="103" t="n">
        <v>1</v>
      </c>
      <c r="I300" s="4" t="str">
        <f aca="false">IF(COUNT(E300:F300)&lt;2,"N/A",IF(ABS(G300)&lt;=H300,"OK","❌"))</f>
        <v>OK</v>
      </c>
      <c r="J300" s="103" t="s">
        <v>1269</v>
      </c>
      <c r="K300" s="4" t="str">
        <f aca="false">IF(I300=J300,"✔ sesuai","✖ TIDAK sesuai")</f>
        <v>✔ sesuai</v>
      </c>
      <c r="L300" s="104" t="s">
        <v>1341</v>
      </c>
    </row>
    <row r="301" customFormat="false" ht="15" hidden="false" customHeight="false" outlineLevel="0" collapsed="false">
      <c r="A301" s="13" t="n">
        <v>295</v>
      </c>
      <c r="B301" s="13" t="s">
        <v>1331</v>
      </c>
      <c r="C301" s="13" t="s">
        <v>1340</v>
      </c>
      <c r="D301" s="13" t="n">
        <v>2025</v>
      </c>
      <c r="E301" s="61" t="n">
        <v>1812417290</v>
      </c>
      <c r="F301" s="61" t="n">
        <v>1812417290</v>
      </c>
      <c r="G301" s="102" t="n">
        <f aca="false">IF(COUNT(E301:F301)=2,E301-F301,"")</f>
        <v>0</v>
      </c>
      <c r="H301" s="103" t="n">
        <v>1</v>
      </c>
      <c r="I301" s="4" t="str">
        <f aca="false">IF(COUNT(E301:F301)&lt;2,"N/A",IF(ABS(G301)&lt;=H301,"OK","❌"))</f>
        <v>OK</v>
      </c>
      <c r="J301" s="103" t="s">
        <v>1269</v>
      </c>
      <c r="K301" s="4" t="str">
        <f aca="false">IF(I301=J301,"✔ sesuai","✖ TIDAK sesuai")</f>
        <v>✔ sesuai</v>
      </c>
      <c r="L301" s="104"/>
    </row>
    <row r="302" customFormat="false" ht="15" hidden="false" customHeight="false" outlineLevel="0" collapsed="false">
      <c r="A302" s="13" t="n">
        <v>296</v>
      </c>
      <c r="B302" s="13" t="s">
        <v>1331</v>
      </c>
      <c r="C302" s="13" t="s">
        <v>1342</v>
      </c>
      <c r="D302" s="13" t="n">
        <v>2020</v>
      </c>
      <c r="E302" s="61" t="n">
        <v>3325000000000</v>
      </c>
      <c r="F302" s="61" t="n">
        <v>3325000000000</v>
      </c>
      <c r="G302" s="102" t="n">
        <f aca="false">IF(COUNT(E302:F302)=2,E302-F302,"")</f>
        <v>0</v>
      </c>
      <c r="H302" s="103" t="n">
        <v>1</v>
      </c>
      <c r="I302" s="4" t="str">
        <f aca="false">IF(COUNT(E302:F302)&lt;2,"N/A",IF(ABS(G302)&lt;=H302,"OK","❌"))</f>
        <v>OK</v>
      </c>
      <c r="J302" s="103" t="s">
        <v>1269</v>
      </c>
      <c r="K302" s="4" t="str">
        <f aca="false">IF(I302=J302,"✔ sesuai","✖ TIDAK sesuai")</f>
        <v>✔ sesuai</v>
      </c>
      <c r="L302" s="104" t="s">
        <v>1343</v>
      </c>
    </row>
    <row r="303" customFormat="false" ht="15" hidden="false" customHeight="false" outlineLevel="0" collapsed="false">
      <c r="A303" s="13" t="n">
        <v>297</v>
      </c>
      <c r="B303" s="13" t="s">
        <v>1331</v>
      </c>
      <c r="C303" s="13" t="s">
        <v>1344</v>
      </c>
      <c r="D303" s="13" t="n">
        <v>2020</v>
      </c>
      <c r="E303" s="61" t="n">
        <v>3284159332</v>
      </c>
      <c r="F303" s="61" t="n">
        <v>3284159332</v>
      </c>
      <c r="G303" s="102" t="n">
        <f aca="false">IF(COUNT(E303:F303)=2,E303-F303,"")</f>
        <v>0</v>
      </c>
      <c r="H303" s="103" t="n">
        <v>1</v>
      </c>
      <c r="I303" s="4" t="str">
        <f aca="false">IF(COUNT(E303:F303)&lt;2,"N/A",IF(ABS(G303)&lt;=H303,"OK","❌"))</f>
        <v>OK</v>
      </c>
      <c r="J303" s="103" t="s">
        <v>1269</v>
      </c>
      <c r="K303" s="4" t="str">
        <f aca="false">IF(I303=J303,"✔ sesuai","✖ TIDAK sesuai")</f>
        <v>✔ sesuai</v>
      </c>
      <c r="L303" s="104" t="s">
        <v>1345</v>
      </c>
    </row>
    <row r="304" customFormat="false" ht="15" hidden="false" customHeight="false" outlineLevel="0" collapsed="false">
      <c r="A304" s="13" t="n">
        <v>298</v>
      </c>
      <c r="B304" s="13" t="s">
        <v>1331</v>
      </c>
      <c r="C304" s="13" t="s">
        <v>1346</v>
      </c>
      <c r="D304" s="13" t="n">
        <v>2020</v>
      </c>
      <c r="E304" s="61" t="n">
        <v>216.3</v>
      </c>
      <c r="F304" s="61" t="n">
        <v>216.29</v>
      </c>
      <c r="G304" s="102" t="n">
        <f aca="false">IF(COUNT(E304:F304)=2,E304-F304,"")</f>
        <v>0.0100000000000193</v>
      </c>
      <c r="H304" s="103" t="n">
        <v>1</v>
      </c>
      <c r="I304" s="4" t="str">
        <f aca="false">IF(COUNT(E304:F304)&lt;2,"N/A",IF(ABS(G304)&lt;=H304,"OK","❌"))</f>
        <v>OK</v>
      </c>
      <c r="J304" s="103" t="s">
        <v>1269</v>
      </c>
      <c r="K304" s="4" t="str">
        <f aca="false">IF(I304=J304,"✔ sesuai","✖ TIDAK sesuai")</f>
        <v>✔ sesuai</v>
      </c>
      <c r="L304" s="104" t="s">
        <v>1347</v>
      </c>
    </row>
    <row r="305" customFormat="false" ht="15" hidden="false" customHeight="false" outlineLevel="0" collapsed="false">
      <c r="A305" s="13" t="n">
        <v>299</v>
      </c>
      <c r="B305" s="13" t="s">
        <v>1348</v>
      </c>
      <c r="C305" s="13" t="s">
        <v>1349</v>
      </c>
      <c r="D305" s="13" t="n">
        <v>2024</v>
      </c>
      <c r="E305" s="98" t="n">
        <v>52</v>
      </c>
      <c r="F305" s="98" t="n">
        <v>53</v>
      </c>
      <c r="G305" s="105" t="n">
        <f aca="false">IF(COUNT(E305:F305)=2,E305-F305,"")</f>
        <v>-1</v>
      </c>
      <c r="H305" s="103" t="n">
        <v>0</v>
      </c>
      <c r="I305" s="4" t="str">
        <f aca="false">IF(COUNT(E305:F305)&lt;2,"N/A",IF(ABS(G305)&lt;=H305,"OK","INFO"))</f>
        <v>INFO</v>
      </c>
      <c r="J305" s="103" t="s">
        <v>1350</v>
      </c>
      <c r="K305" s="4" t="str">
        <f aca="false">IF(I305=J305,"✔ sesuai","✖ TIDAK sesuai")</f>
        <v>✔ sesuai</v>
      </c>
      <c r="L305" s="104" t="s">
        <v>1351</v>
      </c>
    </row>
    <row r="306" customFormat="false" ht="15" hidden="false" customHeight="false" outlineLevel="0" collapsed="false">
      <c r="A306" s="13" t="n">
        <v>300</v>
      </c>
      <c r="B306" s="13" t="s">
        <v>1352</v>
      </c>
      <c r="C306" s="13" t="s">
        <v>1353</v>
      </c>
      <c r="D306" s="13" t="n">
        <v>2022</v>
      </c>
      <c r="E306" s="98" t="n">
        <v>45</v>
      </c>
      <c r="F306" s="98" t="n">
        <v>49</v>
      </c>
      <c r="G306" s="105" t="n">
        <f aca="false">IF(COUNT(E306:F306)=2,E306-F306,"")</f>
        <v>-4</v>
      </c>
      <c r="H306" s="103" t="n">
        <v>0</v>
      </c>
      <c r="I306" s="4" t="str">
        <f aca="false">IF(COUNT(E306:F306)&lt;2,"N/A",IF(ABS(G306)&lt;=H306,"OK","INFO"))</f>
        <v>INFO</v>
      </c>
      <c r="J306" s="103" t="s">
        <v>1350</v>
      </c>
      <c r="K306" s="4" t="str">
        <f aca="false">IF(I306=J306,"✔ sesuai","✖ TIDAK sesuai")</f>
        <v>✔ sesuai</v>
      </c>
      <c r="L306" s="104" t="s">
        <v>1354</v>
      </c>
    </row>
    <row r="307" customFormat="false" ht="15" hidden="false" customHeight="false" outlineLevel="0" collapsed="false">
      <c r="A307" s="13" t="n">
        <v>301</v>
      </c>
      <c r="B307" s="13" t="s">
        <v>1355</v>
      </c>
      <c r="C307" s="13" t="s">
        <v>1356</v>
      </c>
      <c r="D307" s="13" t="n">
        <v>2020</v>
      </c>
      <c r="E307" s="50" t="n">
        <f aca="false">IS_Proj!C17</f>
        <v>-15517181073</v>
      </c>
      <c r="F307" s="50" t="n">
        <f aca="false">IS!C10</f>
        <v>-15517181073</v>
      </c>
      <c r="G307" s="102" t="n">
        <f aca="false">IF(COUNT(E307:F307)=2,E307-F307,"")</f>
        <v>0</v>
      </c>
      <c r="H307" s="103" t="n">
        <v>1</v>
      </c>
      <c r="I307" s="4" t="str">
        <f aca="false">IF(COUNT(E307:F307)&lt;2,"N/A",IF(ABS(G307)&lt;=H307,"OK","❌"))</f>
        <v>OK</v>
      </c>
      <c r="J307" s="103" t="s">
        <v>1269</v>
      </c>
      <c r="K307" s="4" t="str">
        <f aca="false">IF(I307=J307,"✔ sesuai","✖ TIDAK sesuai")</f>
        <v>✔ sesuai</v>
      </c>
      <c r="L307" s="104"/>
    </row>
    <row r="308" customFormat="false" ht="15" hidden="false" customHeight="false" outlineLevel="0" collapsed="false">
      <c r="A308" s="13" t="n">
        <v>302</v>
      </c>
      <c r="B308" s="13" t="s">
        <v>1355</v>
      </c>
      <c r="C308" s="13" t="s">
        <v>1357</v>
      </c>
      <c r="D308" s="13" t="n">
        <v>2020</v>
      </c>
      <c r="E308" s="50" t="n">
        <f aca="false">IS_Proj!C21</f>
        <v>13792807612</v>
      </c>
      <c r="F308" s="50" t="n">
        <f aca="false">IS!C15</f>
        <v>13792807612</v>
      </c>
      <c r="G308" s="102" t="n">
        <f aca="false">IF(COUNT(E308:F308)=2,E308-F308,"")</f>
        <v>0</v>
      </c>
      <c r="H308" s="103" t="n">
        <v>1</v>
      </c>
      <c r="I308" s="4" t="str">
        <f aca="false">IF(COUNT(E308:F308)&lt;2,"N/A",IF(ABS(G308)&lt;=H308,"OK","❌"))</f>
        <v>OK</v>
      </c>
      <c r="J308" s="103" t="s">
        <v>1269</v>
      </c>
      <c r="K308" s="4" t="str">
        <f aca="false">IF(I308=J308,"✔ sesuai","✖ TIDAK sesuai")</f>
        <v>✔ sesuai</v>
      </c>
      <c r="L308" s="104"/>
    </row>
    <row r="309" customFormat="false" ht="15" hidden="false" customHeight="false" outlineLevel="0" collapsed="false">
      <c r="A309" s="13" t="n">
        <v>303</v>
      </c>
      <c r="B309" s="13" t="s">
        <v>1355</v>
      </c>
      <c r="C309" s="13" t="s">
        <v>1358</v>
      </c>
      <c r="D309" s="13" t="n">
        <v>2020</v>
      </c>
      <c r="E309" s="50" t="n">
        <f aca="false">BS_Proj!C15</f>
        <v>3445671264153</v>
      </c>
      <c r="F309" s="50" t="n">
        <f aca="false">BS_Proj!C28</f>
        <v>3445671264153</v>
      </c>
      <c r="G309" s="102" t="n">
        <f aca="false">IF(COUNT(E309:F309)=2,E309-F309,"")</f>
        <v>0</v>
      </c>
      <c r="H309" s="103" t="n">
        <v>1</v>
      </c>
      <c r="I309" s="4" t="str">
        <f aca="false">IF(COUNT(E309:F309)&lt;2,"N/A",IF(ABS(G309)&lt;=H309,"OK","❌"))</f>
        <v>OK</v>
      </c>
      <c r="J309" s="103" t="s">
        <v>1269</v>
      </c>
      <c r="K309" s="4" t="str">
        <f aca="false">IF(I309=J309,"✔ sesuai","✖ TIDAK sesuai")</f>
        <v>✔ sesuai</v>
      </c>
      <c r="L309" s="104"/>
    </row>
    <row r="310" customFormat="false" ht="15" hidden="false" customHeight="false" outlineLevel="0" collapsed="false">
      <c r="A310" s="13" t="n">
        <v>304</v>
      </c>
      <c r="B310" s="13" t="s">
        <v>1355</v>
      </c>
      <c r="C310" s="13" t="s">
        <v>1359</v>
      </c>
      <c r="D310" s="13" t="n">
        <v>2020</v>
      </c>
      <c r="E310" s="50" t="n">
        <f aca="false">BS_Proj!C15</f>
        <v>3445671264153</v>
      </c>
      <c r="F310" s="50" t="n">
        <f aca="false">BS!C21</f>
        <v>3445671264153</v>
      </c>
      <c r="G310" s="102" t="n">
        <f aca="false">IF(COUNT(E310:F310)=2,E310-F310,"")</f>
        <v>0</v>
      </c>
      <c r="H310" s="103" t="n">
        <v>1</v>
      </c>
      <c r="I310" s="4" t="str">
        <f aca="false">IF(COUNT(E310:F310)&lt;2,"N/A",IF(ABS(G310)&lt;=H310,"OK","❌"))</f>
        <v>OK</v>
      </c>
      <c r="J310" s="103" t="s">
        <v>1269</v>
      </c>
      <c r="K310" s="4" t="str">
        <f aca="false">IF(I310=J310,"✔ sesuai","✖ TIDAK sesuai")</f>
        <v>✔ sesuai</v>
      </c>
      <c r="L310" s="104"/>
    </row>
    <row r="311" customFormat="false" ht="15" hidden="false" customHeight="false" outlineLevel="0" collapsed="false">
      <c r="A311" s="13" t="n">
        <v>305</v>
      </c>
      <c r="B311" s="13" t="s">
        <v>1355</v>
      </c>
      <c r="C311" s="13" t="s">
        <v>1356</v>
      </c>
      <c r="D311" s="13" t="n">
        <v>2021</v>
      </c>
      <c r="E311" s="50" t="n">
        <f aca="false">IS_Proj!D17</f>
        <v>14097957167</v>
      </c>
      <c r="F311" s="50" t="n">
        <f aca="false">IS!D10</f>
        <v>14097957167</v>
      </c>
      <c r="G311" s="102" t="n">
        <f aca="false">IF(COUNT(E311:F311)=2,E311-F311,"")</f>
        <v>0</v>
      </c>
      <c r="H311" s="103" t="n">
        <v>1</v>
      </c>
      <c r="I311" s="4" t="str">
        <f aca="false">IF(COUNT(E311:F311)&lt;2,"N/A",IF(ABS(G311)&lt;=H311,"OK","❌"))</f>
        <v>OK</v>
      </c>
      <c r="J311" s="103" t="s">
        <v>1269</v>
      </c>
      <c r="K311" s="4" t="str">
        <f aca="false">IF(I311=J311,"✔ sesuai","✖ TIDAK sesuai")</f>
        <v>✔ sesuai</v>
      </c>
      <c r="L311" s="104"/>
    </row>
    <row r="312" customFormat="false" ht="15" hidden="false" customHeight="false" outlineLevel="0" collapsed="false">
      <c r="A312" s="13" t="n">
        <v>306</v>
      </c>
      <c r="B312" s="13" t="s">
        <v>1355</v>
      </c>
      <c r="C312" s="13" t="s">
        <v>1357</v>
      </c>
      <c r="D312" s="13" t="n">
        <v>2021</v>
      </c>
      <c r="E312" s="50" t="n">
        <f aca="false">IS_Proj!D21</f>
        <v>6506538854</v>
      </c>
      <c r="F312" s="50" t="n">
        <f aca="false">IS!D15</f>
        <v>6506538854</v>
      </c>
      <c r="G312" s="102" t="n">
        <f aca="false">IF(COUNT(E312:F312)=2,E312-F312,"")</f>
        <v>0</v>
      </c>
      <c r="H312" s="103" t="n">
        <v>1</v>
      </c>
      <c r="I312" s="4" t="str">
        <f aca="false">IF(COUNT(E312:F312)&lt;2,"N/A",IF(ABS(G312)&lt;=H312,"OK","❌"))</f>
        <v>OK</v>
      </c>
      <c r="J312" s="103" t="s">
        <v>1269</v>
      </c>
      <c r="K312" s="4" t="str">
        <f aca="false">IF(I312=J312,"✔ sesuai","✖ TIDAK sesuai")</f>
        <v>✔ sesuai</v>
      </c>
      <c r="L312" s="104"/>
    </row>
    <row r="313" customFormat="false" ht="15" hidden="false" customHeight="false" outlineLevel="0" collapsed="false">
      <c r="A313" s="13" t="n">
        <v>307</v>
      </c>
      <c r="B313" s="13" t="s">
        <v>1355</v>
      </c>
      <c r="C313" s="13" t="s">
        <v>1360</v>
      </c>
      <c r="D313" s="13" t="n">
        <v>2021</v>
      </c>
      <c r="E313" s="50" t="n">
        <f aca="false">IS_Proj!D9</f>
        <v>290934356126</v>
      </c>
      <c r="F313" s="50" t="n">
        <f aca="false">IS_Proj!D6+IS_Proj!D7+IS_Proj!D8</f>
        <v>290934356126</v>
      </c>
      <c r="G313" s="102" t="n">
        <f aca="false">IF(COUNT(E313:F313)=2,E313-F313,"")</f>
        <v>0</v>
      </c>
      <c r="H313" s="103" t="n">
        <v>1</v>
      </c>
      <c r="I313" s="4" t="str">
        <f aca="false">IF(COUNT(E313:F313)&lt;2,"N/A",IF(ABS(G313)&lt;=H313,"OK","❌"))</f>
        <v>OK</v>
      </c>
      <c r="J313" s="103" t="s">
        <v>1269</v>
      </c>
      <c r="K313" s="4" t="str">
        <f aca="false">IF(I313=J313,"✔ sesuai","✖ TIDAK sesuai")</f>
        <v>✔ sesuai</v>
      </c>
      <c r="L313" s="104"/>
    </row>
    <row r="314" customFormat="false" ht="15" hidden="false" customHeight="false" outlineLevel="0" collapsed="false">
      <c r="A314" s="13" t="n">
        <v>308</v>
      </c>
      <c r="B314" s="13" t="s">
        <v>1355</v>
      </c>
      <c r="C314" s="13" t="s">
        <v>1358</v>
      </c>
      <c r="D314" s="13" t="n">
        <v>2021</v>
      </c>
      <c r="E314" s="50" t="n">
        <f aca="false">BS_Proj!D15</f>
        <v>4211211802258</v>
      </c>
      <c r="F314" s="50" t="n">
        <f aca="false">BS_Proj!D28</f>
        <v>4211211802258</v>
      </c>
      <c r="G314" s="102" t="n">
        <f aca="false">IF(COUNT(E314:F314)=2,E314-F314,"")</f>
        <v>0</v>
      </c>
      <c r="H314" s="103" t="n">
        <v>1</v>
      </c>
      <c r="I314" s="4" t="str">
        <f aca="false">IF(COUNT(E314:F314)&lt;2,"N/A",IF(ABS(G314)&lt;=H314,"OK","❌"))</f>
        <v>OK</v>
      </c>
      <c r="J314" s="103" t="s">
        <v>1269</v>
      </c>
      <c r="K314" s="4" t="str">
        <f aca="false">IF(I314=J314,"✔ sesuai","✖ TIDAK sesuai")</f>
        <v>✔ sesuai</v>
      </c>
      <c r="L314" s="104"/>
    </row>
    <row r="315" customFormat="false" ht="15" hidden="false" customHeight="false" outlineLevel="0" collapsed="false">
      <c r="A315" s="13" t="n">
        <v>309</v>
      </c>
      <c r="B315" s="13" t="s">
        <v>1355</v>
      </c>
      <c r="C315" s="13" t="s">
        <v>1359</v>
      </c>
      <c r="D315" s="13" t="n">
        <v>2021</v>
      </c>
      <c r="E315" s="50" t="n">
        <f aca="false">BS_Proj!D15</f>
        <v>4211211802258</v>
      </c>
      <c r="F315" s="50" t="n">
        <f aca="false">BS!D21</f>
        <v>4211211802258</v>
      </c>
      <c r="G315" s="102" t="n">
        <f aca="false">IF(COUNT(E315:F315)=2,E315-F315,"")</f>
        <v>0</v>
      </c>
      <c r="H315" s="103" t="n">
        <v>1</v>
      </c>
      <c r="I315" s="4" t="str">
        <f aca="false">IF(COUNT(E315:F315)&lt;2,"N/A",IF(ABS(G315)&lt;=H315,"OK","❌"))</f>
        <v>OK</v>
      </c>
      <c r="J315" s="103" t="s">
        <v>1269</v>
      </c>
      <c r="K315" s="4" t="str">
        <f aca="false">IF(I315=J315,"✔ sesuai","✖ TIDAK sesuai")</f>
        <v>✔ sesuai</v>
      </c>
      <c r="L315" s="104"/>
    </row>
    <row r="316" customFormat="false" ht="15" hidden="false" customHeight="false" outlineLevel="0" collapsed="false">
      <c r="A316" s="13" t="n">
        <v>310</v>
      </c>
      <c r="B316" s="13" t="s">
        <v>1355</v>
      </c>
      <c r="C316" s="13" t="s">
        <v>1356</v>
      </c>
      <c r="D316" s="13" t="n">
        <v>2022</v>
      </c>
      <c r="E316" s="50" t="n">
        <f aca="false">IS_Proj!E17</f>
        <v>-60591381867</v>
      </c>
      <c r="F316" s="50" t="n">
        <f aca="false">IS!E10</f>
        <v>-60591381867</v>
      </c>
      <c r="G316" s="102" t="n">
        <f aca="false">IF(COUNT(E316:F316)=2,E316-F316,"")</f>
        <v>0</v>
      </c>
      <c r="H316" s="103" t="n">
        <v>1</v>
      </c>
      <c r="I316" s="4" t="str">
        <f aca="false">IF(COUNT(E316:F316)&lt;2,"N/A",IF(ABS(G316)&lt;=H316,"OK","❌"))</f>
        <v>OK</v>
      </c>
      <c r="J316" s="103" t="s">
        <v>1269</v>
      </c>
      <c r="K316" s="4" t="str">
        <f aca="false">IF(I316=J316,"✔ sesuai","✖ TIDAK sesuai")</f>
        <v>✔ sesuai</v>
      </c>
      <c r="L316" s="104"/>
    </row>
    <row r="317" customFormat="false" ht="15" hidden="false" customHeight="false" outlineLevel="0" collapsed="false">
      <c r="A317" s="13" t="n">
        <v>311</v>
      </c>
      <c r="B317" s="13" t="s">
        <v>1355</v>
      </c>
      <c r="C317" s="13" t="s">
        <v>1357</v>
      </c>
      <c r="D317" s="13" t="n">
        <v>2022</v>
      </c>
      <c r="E317" s="50" t="n">
        <f aca="false">IS_Proj!E21</f>
        <v>-93315958920</v>
      </c>
      <c r="F317" s="50" t="n">
        <f aca="false">IS!E15</f>
        <v>-93315958920</v>
      </c>
      <c r="G317" s="102" t="n">
        <f aca="false">IF(COUNT(E317:F317)=2,E317-F317,"")</f>
        <v>0</v>
      </c>
      <c r="H317" s="103" t="n">
        <v>1</v>
      </c>
      <c r="I317" s="4" t="str">
        <f aca="false">IF(COUNT(E317:F317)&lt;2,"N/A",IF(ABS(G317)&lt;=H317,"OK","❌"))</f>
        <v>OK</v>
      </c>
      <c r="J317" s="103" t="s">
        <v>1269</v>
      </c>
      <c r="K317" s="4" t="str">
        <f aca="false">IF(I317=J317,"✔ sesuai","✖ TIDAK sesuai")</f>
        <v>✔ sesuai</v>
      </c>
      <c r="L317" s="104"/>
    </row>
    <row r="318" customFormat="false" ht="15" hidden="false" customHeight="false" outlineLevel="0" collapsed="false">
      <c r="A318" s="13" t="n">
        <v>312</v>
      </c>
      <c r="B318" s="13" t="s">
        <v>1355</v>
      </c>
      <c r="C318" s="13" t="s">
        <v>1360</v>
      </c>
      <c r="D318" s="13" t="n">
        <v>2022</v>
      </c>
      <c r="E318" s="50" t="n">
        <f aca="false">IS_Proj!E9</f>
        <v>233970724609</v>
      </c>
      <c r="F318" s="50" t="n">
        <f aca="false">IS_Proj!E6+IS_Proj!E7+IS_Proj!E8</f>
        <v>233970724609</v>
      </c>
      <c r="G318" s="102" t="n">
        <f aca="false">IF(COUNT(E318:F318)=2,E318-F318,"")</f>
        <v>0</v>
      </c>
      <c r="H318" s="103" t="n">
        <v>1</v>
      </c>
      <c r="I318" s="4" t="str">
        <f aca="false">IF(COUNT(E318:F318)&lt;2,"N/A",IF(ABS(G318)&lt;=H318,"OK","❌"))</f>
        <v>OK</v>
      </c>
      <c r="J318" s="103" t="s">
        <v>1269</v>
      </c>
      <c r="K318" s="4" t="str">
        <f aca="false">IF(I318=J318,"✔ sesuai","✖ TIDAK sesuai")</f>
        <v>✔ sesuai</v>
      </c>
      <c r="L318" s="104"/>
    </row>
    <row r="319" customFormat="false" ht="15" hidden="false" customHeight="false" outlineLevel="0" collapsed="false">
      <c r="A319" s="13" t="n">
        <v>313</v>
      </c>
      <c r="B319" s="13" t="s">
        <v>1355</v>
      </c>
      <c r="C319" s="13" t="s">
        <v>1358</v>
      </c>
      <c r="D319" s="13" t="n">
        <v>2022</v>
      </c>
      <c r="E319" s="50" t="n">
        <f aca="false">BS_Proj!E15</f>
        <v>4234621132412</v>
      </c>
      <c r="F319" s="50" t="n">
        <f aca="false">BS_Proj!E28</f>
        <v>4234621132412</v>
      </c>
      <c r="G319" s="102" t="n">
        <f aca="false">IF(COUNT(E319:F319)=2,E319-F319,"")</f>
        <v>0</v>
      </c>
      <c r="H319" s="103" t="n">
        <v>1</v>
      </c>
      <c r="I319" s="4" t="str">
        <f aca="false">IF(COUNT(E319:F319)&lt;2,"N/A",IF(ABS(G319)&lt;=H319,"OK","❌"))</f>
        <v>OK</v>
      </c>
      <c r="J319" s="103" t="s">
        <v>1269</v>
      </c>
      <c r="K319" s="4" t="str">
        <f aca="false">IF(I319=J319,"✔ sesuai","✖ TIDAK sesuai")</f>
        <v>✔ sesuai</v>
      </c>
      <c r="L319" s="104"/>
    </row>
    <row r="320" customFormat="false" ht="15" hidden="false" customHeight="false" outlineLevel="0" collapsed="false">
      <c r="A320" s="13" t="n">
        <v>314</v>
      </c>
      <c r="B320" s="13" t="s">
        <v>1355</v>
      </c>
      <c r="C320" s="13" t="s">
        <v>1359</v>
      </c>
      <c r="D320" s="13" t="n">
        <v>2022</v>
      </c>
      <c r="E320" s="50" t="n">
        <f aca="false">BS_Proj!E15</f>
        <v>4234621132412</v>
      </c>
      <c r="F320" s="50" t="n">
        <f aca="false">BS!E21</f>
        <v>4234621132412</v>
      </c>
      <c r="G320" s="102" t="n">
        <f aca="false">IF(COUNT(E320:F320)=2,E320-F320,"")</f>
        <v>0</v>
      </c>
      <c r="H320" s="103" t="n">
        <v>1</v>
      </c>
      <c r="I320" s="4" t="str">
        <f aca="false">IF(COUNT(E320:F320)&lt;2,"N/A",IF(ABS(G320)&lt;=H320,"OK","❌"))</f>
        <v>OK</v>
      </c>
      <c r="J320" s="103" t="s">
        <v>1269</v>
      </c>
      <c r="K320" s="4" t="str">
        <f aca="false">IF(I320=J320,"✔ sesuai","✖ TIDAK sesuai")</f>
        <v>✔ sesuai</v>
      </c>
      <c r="L320" s="104"/>
    </row>
    <row r="321" customFormat="false" ht="15" hidden="false" customHeight="false" outlineLevel="0" collapsed="false">
      <c r="A321" s="13" t="n">
        <v>315</v>
      </c>
      <c r="B321" s="13" t="s">
        <v>1355</v>
      </c>
      <c r="C321" s="13" t="s">
        <v>1356</v>
      </c>
      <c r="D321" s="13" t="n">
        <v>2023</v>
      </c>
      <c r="E321" s="50" t="n">
        <f aca="false">IS_Proj!F17</f>
        <v>-36138783500</v>
      </c>
      <c r="F321" s="50" t="n">
        <f aca="false">IS!F10</f>
        <v>-36138783500</v>
      </c>
      <c r="G321" s="102" t="n">
        <f aca="false">IF(COUNT(E321:F321)=2,E321-F321,"")</f>
        <v>0</v>
      </c>
      <c r="H321" s="103" t="n">
        <v>1</v>
      </c>
      <c r="I321" s="4" t="str">
        <f aca="false">IF(COUNT(E321:F321)&lt;2,"N/A",IF(ABS(G321)&lt;=H321,"OK","❌"))</f>
        <v>OK</v>
      </c>
      <c r="J321" s="103" t="s">
        <v>1269</v>
      </c>
      <c r="K321" s="4" t="str">
        <f aca="false">IF(I321=J321,"✔ sesuai","✖ TIDAK sesuai")</f>
        <v>✔ sesuai</v>
      </c>
      <c r="L321" s="104"/>
    </row>
    <row r="322" customFormat="false" ht="15" hidden="false" customHeight="false" outlineLevel="0" collapsed="false">
      <c r="A322" s="13" t="n">
        <v>316</v>
      </c>
      <c r="B322" s="13" t="s">
        <v>1355</v>
      </c>
      <c r="C322" s="13" t="s">
        <v>1357</v>
      </c>
      <c r="D322" s="13" t="n">
        <v>2023</v>
      </c>
      <c r="E322" s="50" t="n">
        <f aca="false">IS_Proj!F21</f>
        <v>-106122839786</v>
      </c>
      <c r="F322" s="50" t="n">
        <f aca="false">IS!F15</f>
        <v>-106122839786</v>
      </c>
      <c r="G322" s="102" t="n">
        <f aca="false">IF(COUNT(E322:F322)=2,E322-F322,"")</f>
        <v>0</v>
      </c>
      <c r="H322" s="103" t="n">
        <v>1</v>
      </c>
      <c r="I322" s="4" t="str">
        <f aca="false">IF(COUNT(E322:F322)&lt;2,"N/A",IF(ABS(G322)&lt;=H322,"OK","❌"))</f>
        <v>OK</v>
      </c>
      <c r="J322" s="103" t="s">
        <v>1269</v>
      </c>
      <c r="K322" s="4" t="str">
        <f aca="false">IF(I322=J322,"✔ sesuai","✖ TIDAK sesuai")</f>
        <v>✔ sesuai</v>
      </c>
      <c r="L322" s="104"/>
    </row>
    <row r="323" customFormat="false" ht="15" hidden="false" customHeight="false" outlineLevel="0" collapsed="false">
      <c r="A323" s="13" t="n">
        <v>317</v>
      </c>
      <c r="B323" s="13" t="s">
        <v>1355</v>
      </c>
      <c r="C323" s="13" t="s">
        <v>1360</v>
      </c>
      <c r="D323" s="13" t="n">
        <v>2023</v>
      </c>
      <c r="E323" s="50" t="n">
        <f aca="false">IS_Proj!F9</f>
        <v>242680799183</v>
      </c>
      <c r="F323" s="50" t="n">
        <f aca="false">IS_Proj!F6+IS_Proj!F7+IS_Proj!F8</f>
        <v>242680799183</v>
      </c>
      <c r="G323" s="102" t="n">
        <f aca="false">IF(COUNT(E323:F323)=2,E323-F323,"")</f>
        <v>0</v>
      </c>
      <c r="H323" s="103" t="n">
        <v>1</v>
      </c>
      <c r="I323" s="4" t="str">
        <f aca="false">IF(COUNT(E323:F323)&lt;2,"N/A",IF(ABS(G323)&lt;=H323,"OK","❌"))</f>
        <v>OK</v>
      </c>
      <c r="J323" s="103" t="s">
        <v>1269</v>
      </c>
      <c r="K323" s="4" t="str">
        <f aca="false">IF(I323=J323,"✔ sesuai","✖ TIDAK sesuai")</f>
        <v>✔ sesuai</v>
      </c>
      <c r="L323" s="104"/>
    </row>
    <row r="324" customFormat="false" ht="15" hidden="false" customHeight="false" outlineLevel="0" collapsed="false">
      <c r="A324" s="13" t="n">
        <v>318</v>
      </c>
      <c r="B324" s="13" t="s">
        <v>1355</v>
      </c>
      <c r="C324" s="13" t="s">
        <v>1358</v>
      </c>
      <c r="D324" s="13" t="n">
        <v>2023</v>
      </c>
      <c r="E324" s="50" t="n">
        <f aca="false">BS_Proj!F15</f>
        <v>4137006257713</v>
      </c>
      <c r="F324" s="50" t="n">
        <f aca="false">BS_Proj!F28</f>
        <v>4137006257713</v>
      </c>
      <c r="G324" s="102" t="n">
        <f aca="false">IF(COUNT(E324:F324)=2,E324-F324,"")</f>
        <v>0</v>
      </c>
      <c r="H324" s="103" t="n">
        <v>1</v>
      </c>
      <c r="I324" s="4" t="str">
        <f aca="false">IF(COUNT(E324:F324)&lt;2,"N/A",IF(ABS(G324)&lt;=H324,"OK","❌"))</f>
        <v>OK</v>
      </c>
      <c r="J324" s="103" t="s">
        <v>1269</v>
      </c>
      <c r="K324" s="4" t="str">
        <f aca="false">IF(I324=J324,"✔ sesuai","✖ TIDAK sesuai")</f>
        <v>✔ sesuai</v>
      </c>
      <c r="L324" s="104"/>
    </row>
    <row r="325" customFormat="false" ht="15" hidden="false" customHeight="false" outlineLevel="0" collapsed="false">
      <c r="A325" s="13" t="n">
        <v>319</v>
      </c>
      <c r="B325" s="13" t="s">
        <v>1355</v>
      </c>
      <c r="C325" s="13" t="s">
        <v>1359</v>
      </c>
      <c r="D325" s="13" t="n">
        <v>2023</v>
      </c>
      <c r="E325" s="50" t="n">
        <f aca="false">BS_Proj!F15</f>
        <v>4137006257713</v>
      </c>
      <c r="F325" s="50" t="n">
        <f aca="false">BS!F21</f>
        <v>4137006257713</v>
      </c>
      <c r="G325" s="102" t="n">
        <f aca="false">IF(COUNT(E325:F325)=2,E325-F325,"")</f>
        <v>0</v>
      </c>
      <c r="H325" s="103" t="n">
        <v>1</v>
      </c>
      <c r="I325" s="4" t="str">
        <f aca="false">IF(COUNT(E325:F325)&lt;2,"N/A",IF(ABS(G325)&lt;=H325,"OK","❌"))</f>
        <v>OK</v>
      </c>
      <c r="J325" s="103" t="s">
        <v>1269</v>
      </c>
      <c r="K325" s="4" t="str">
        <f aca="false">IF(I325=J325,"✔ sesuai","✖ TIDAK sesuai")</f>
        <v>✔ sesuai</v>
      </c>
      <c r="L325" s="104"/>
    </row>
    <row r="326" customFormat="false" ht="15" hidden="false" customHeight="false" outlineLevel="0" collapsed="false">
      <c r="A326" s="13" t="n">
        <v>320</v>
      </c>
      <c r="B326" s="13" t="s">
        <v>1355</v>
      </c>
      <c r="C326" s="13" t="s">
        <v>1356</v>
      </c>
      <c r="D326" s="13" t="n">
        <v>2024</v>
      </c>
      <c r="E326" s="50" t="n">
        <f aca="false">IS_Proj!G17</f>
        <v>-29927626610</v>
      </c>
      <c r="F326" s="50" t="n">
        <f aca="false">IS!G10</f>
        <v>-29927626610</v>
      </c>
      <c r="G326" s="102" t="n">
        <f aca="false">IF(COUNT(E326:F326)=2,E326-F326,"")</f>
        <v>0</v>
      </c>
      <c r="H326" s="103" t="n">
        <v>1</v>
      </c>
      <c r="I326" s="4" t="str">
        <f aca="false">IF(COUNT(E326:F326)&lt;2,"N/A",IF(ABS(G326)&lt;=H326,"OK","❌"))</f>
        <v>OK</v>
      </c>
      <c r="J326" s="103" t="s">
        <v>1269</v>
      </c>
      <c r="K326" s="4" t="str">
        <f aca="false">IF(I326=J326,"✔ sesuai","✖ TIDAK sesuai")</f>
        <v>✔ sesuai</v>
      </c>
      <c r="L326" s="104"/>
    </row>
    <row r="327" customFormat="false" ht="15" hidden="false" customHeight="false" outlineLevel="0" collapsed="false">
      <c r="A327" s="13" t="n">
        <v>321</v>
      </c>
      <c r="B327" s="13" t="s">
        <v>1355</v>
      </c>
      <c r="C327" s="13" t="s">
        <v>1357</v>
      </c>
      <c r="D327" s="13" t="n">
        <v>2024</v>
      </c>
      <c r="E327" s="50" t="n">
        <f aca="false">IS_Proj!G21</f>
        <v>-75764058101</v>
      </c>
      <c r="F327" s="50" t="n">
        <f aca="false">IS!G15</f>
        <v>-75764058101</v>
      </c>
      <c r="G327" s="102" t="n">
        <f aca="false">IF(COUNT(E327:F327)=2,E327-F327,"")</f>
        <v>0</v>
      </c>
      <c r="H327" s="103" t="n">
        <v>1</v>
      </c>
      <c r="I327" s="4" t="str">
        <f aca="false">IF(COUNT(E327:F327)&lt;2,"N/A",IF(ABS(G327)&lt;=H327,"OK","❌"))</f>
        <v>OK</v>
      </c>
      <c r="J327" s="103" t="s">
        <v>1269</v>
      </c>
      <c r="K327" s="4" t="str">
        <f aca="false">IF(I327=J327,"✔ sesuai","✖ TIDAK sesuai")</f>
        <v>✔ sesuai</v>
      </c>
      <c r="L327" s="104"/>
    </row>
    <row r="328" customFormat="false" ht="15" hidden="false" customHeight="false" outlineLevel="0" collapsed="false">
      <c r="A328" s="13" t="n">
        <v>322</v>
      </c>
      <c r="B328" s="13" t="s">
        <v>1355</v>
      </c>
      <c r="C328" s="13" t="s">
        <v>1360</v>
      </c>
      <c r="D328" s="13" t="n">
        <v>2024</v>
      </c>
      <c r="E328" s="50" t="n">
        <f aca="false">IS_Proj!G9</f>
        <v>319022410802</v>
      </c>
      <c r="F328" s="50" t="n">
        <f aca="false">IS_Proj!G6+IS_Proj!G7+IS_Proj!G8</f>
        <v>319022410802</v>
      </c>
      <c r="G328" s="102" t="n">
        <f aca="false">IF(COUNT(E328:F328)=2,E328-F328,"")</f>
        <v>0</v>
      </c>
      <c r="H328" s="103" t="n">
        <v>1</v>
      </c>
      <c r="I328" s="4" t="str">
        <f aca="false">IF(COUNT(E328:F328)&lt;2,"N/A",IF(ABS(G328)&lt;=H328,"OK","❌"))</f>
        <v>OK</v>
      </c>
      <c r="J328" s="103" t="s">
        <v>1269</v>
      </c>
      <c r="K328" s="4" t="str">
        <f aca="false">IF(I328=J328,"✔ sesuai","✖ TIDAK sesuai")</f>
        <v>✔ sesuai</v>
      </c>
      <c r="L328" s="104"/>
    </row>
    <row r="329" customFormat="false" ht="15" hidden="false" customHeight="false" outlineLevel="0" collapsed="false">
      <c r="A329" s="13" t="n">
        <v>323</v>
      </c>
      <c r="B329" s="13" t="s">
        <v>1355</v>
      </c>
      <c r="C329" s="13" t="s">
        <v>1358</v>
      </c>
      <c r="D329" s="13" t="n">
        <v>2024</v>
      </c>
      <c r="E329" s="50" t="n">
        <f aca="false">BS_Proj!G15</f>
        <v>4021105412384</v>
      </c>
      <c r="F329" s="50" t="n">
        <f aca="false">BS_Proj!G28</f>
        <v>4021105412384</v>
      </c>
      <c r="G329" s="102" t="n">
        <f aca="false">IF(COUNT(E329:F329)=2,E329-F329,"")</f>
        <v>0</v>
      </c>
      <c r="H329" s="103" t="n">
        <v>1</v>
      </c>
      <c r="I329" s="4" t="str">
        <f aca="false">IF(COUNT(E329:F329)&lt;2,"N/A",IF(ABS(G329)&lt;=H329,"OK","❌"))</f>
        <v>OK</v>
      </c>
      <c r="J329" s="103" t="s">
        <v>1269</v>
      </c>
      <c r="K329" s="4" t="str">
        <f aca="false">IF(I329=J329,"✔ sesuai","✖ TIDAK sesuai")</f>
        <v>✔ sesuai</v>
      </c>
      <c r="L329" s="104"/>
    </row>
    <row r="330" customFormat="false" ht="15" hidden="false" customHeight="false" outlineLevel="0" collapsed="false">
      <c r="A330" s="13" t="n">
        <v>324</v>
      </c>
      <c r="B330" s="13" t="s">
        <v>1355</v>
      </c>
      <c r="C330" s="13" t="s">
        <v>1359</v>
      </c>
      <c r="D330" s="13" t="n">
        <v>2024</v>
      </c>
      <c r="E330" s="50" t="n">
        <f aca="false">BS_Proj!G15</f>
        <v>4021105412384</v>
      </c>
      <c r="F330" s="50" t="n">
        <f aca="false">BS!G21</f>
        <v>4021105412384</v>
      </c>
      <c r="G330" s="102" t="n">
        <f aca="false">IF(COUNT(E330:F330)=2,E330-F330,"")</f>
        <v>0</v>
      </c>
      <c r="H330" s="103" t="n">
        <v>1</v>
      </c>
      <c r="I330" s="4" t="str">
        <f aca="false">IF(COUNT(E330:F330)&lt;2,"N/A",IF(ABS(G330)&lt;=H330,"OK","❌"))</f>
        <v>OK</v>
      </c>
      <c r="J330" s="103" t="s">
        <v>1269</v>
      </c>
      <c r="K330" s="4" t="str">
        <f aca="false">IF(I330=J330,"✔ sesuai","✖ TIDAK sesuai")</f>
        <v>✔ sesuai</v>
      </c>
      <c r="L330" s="104"/>
    </row>
    <row r="331" customFormat="false" ht="15" hidden="false" customHeight="false" outlineLevel="0" collapsed="false">
      <c r="A331" s="13" t="n">
        <v>325</v>
      </c>
      <c r="B331" s="13" t="s">
        <v>1355</v>
      </c>
      <c r="C331" s="13" t="s">
        <v>1356</v>
      </c>
      <c r="D331" s="13" t="n">
        <v>2025</v>
      </c>
      <c r="E331" s="50" t="n">
        <f aca="false">IS_Proj!H17</f>
        <v>70015871454</v>
      </c>
      <c r="F331" s="50" t="n">
        <f aca="false">IS!H10</f>
        <v>70015871454</v>
      </c>
      <c r="G331" s="102" t="n">
        <f aca="false">IF(COUNT(E331:F331)=2,E331-F331,"")</f>
        <v>0</v>
      </c>
      <c r="H331" s="103" t="n">
        <v>1</v>
      </c>
      <c r="I331" s="4" t="str">
        <f aca="false">IF(COUNT(E331:F331)&lt;2,"N/A",IF(ABS(G331)&lt;=H331,"OK","❌"))</f>
        <v>OK</v>
      </c>
      <c r="J331" s="103" t="s">
        <v>1269</v>
      </c>
      <c r="K331" s="4" t="str">
        <f aca="false">IF(I331=J331,"✔ sesuai","✖ TIDAK sesuai")</f>
        <v>✔ sesuai</v>
      </c>
      <c r="L331" s="104"/>
    </row>
    <row r="332" customFormat="false" ht="15" hidden="false" customHeight="false" outlineLevel="0" collapsed="false">
      <c r="A332" s="13" t="n">
        <v>326</v>
      </c>
      <c r="B332" s="13" t="s">
        <v>1355</v>
      </c>
      <c r="C332" s="13" t="s">
        <v>1357</v>
      </c>
      <c r="D332" s="13" t="n">
        <v>2025</v>
      </c>
      <c r="E332" s="50" t="n">
        <f aca="false">IS_Proj!H21</f>
        <v>8071335153</v>
      </c>
      <c r="F332" s="50" t="n">
        <f aca="false">IS!H15</f>
        <v>8071335153</v>
      </c>
      <c r="G332" s="102" t="n">
        <f aca="false">IF(COUNT(E332:F332)=2,E332-F332,"")</f>
        <v>0</v>
      </c>
      <c r="H332" s="103" t="n">
        <v>1</v>
      </c>
      <c r="I332" s="4" t="str">
        <f aca="false">IF(COUNT(E332:F332)&lt;2,"N/A",IF(ABS(G332)&lt;=H332,"OK","❌"))</f>
        <v>OK</v>
      </c>
      <c r="J332" s="103" t="s">
        <v>1269</v>
      </c>
      <c r="K332" s="4" t="str">
        <f aca="false">IF(I332=J332,"✔ sesuai","✖ TIDAK sesuai")</f>
        <v>✔ sesuai</v>
      </c>
      <c r="L332" s="104"/>
    </row>
    <row r="333" customFormat="false" ht="15" hidden="false" customHeight="false" outlineLevel="0" collapsed="false">
      <c r="A333" s="13" t="n">
        <v>327</v>
      </c>
      <c r="B333" s="13" t="s">
        <v>1355</v>
      </c>
      <c r="C333" s="13" t="s">
        <v>1360</v>
      </c>
      <c r="D333" s="13" t="n">
        <v>2025</v>
      </c>
      <c r="E333" s="50" t="n">
        <f aca="false">IS_Proj!H9</f>
        <v>439751605228</v>
      </c>
      <c r="F333" s="50" t="n">
        <f aca="false">IS_Proj!H6+IS_Proj!H7+IS_Proj!H8</f>
        <v>439751605228</v>
      </c>
      <c r="G333" s="102" t="n">
        <f aca="false">IF(COUNT(E333:F333)=2,E333-F333,"")</f>
        <v>0</v>
      </c>
      <c r="H333" s="103" t="n">
        <v>1</v>
      </c>
      <c r="I333" s="4" t="str">
        <f aca="false">IF(COUNT(E333:F333)&lt;2,"N/A",IF(ABS(G333)&lt;=H333,"OK","❌"))</f>
        <v>OK</v>
      </c>
      <c r="J333" s="103" t="s">
        <v>1269</v>
      </c>
      <c r="K333" s="4" t="str">
        <f aca="false">IF(I333=J333,"✔ sesuai","✖ TIDAK sesuai")</f>
        <v>✔ sesuai</v>
      </c>
      <c r="L333" s="104"/>
    </row>
    <row r="334" customFormat="false" ht="15" hidden="false" customHeight="false" outlineLevel="0" collapsed="false">
      <c r="A334" s="13" t="n">
        <v>328</v>
      </c>
      <c r="B334" s="13" t="s">
        <v>1355</v>
      </c>
      <c r="C334" s="13" t="s">
        <v>1358</v>
      </c>
      <c r="D334" s="13" t="n">
        <v>2025</v>
      </c>
      <c r="E334" s="50" t="n">
        <f aca="false">BS_Proj!H15</f>
        <v>4175928930765</v>
      </c>
      <c r="F334" s="50" t="n">
        <f aca="false">BS_Proj!H28</f>
        <v>4175928930765</v>
      </c>
      <c r="G334" s="102" t="n">
        <f aca="false">IF(COUNT(E334:F334)=2,E334-F334,"")</f>
        <v>0</v>
      </c>
      <c r="H334" s="103" t="n">
        <v>1</v>
      </c>
      <c r="I334" s="4" t="str">
        <f aca="false">IF(COUNT(E334:F334)&lt;2,"N/A",IF(ABS(G334)&lt;=H334,"OK","❌"))</f>
        <v>OK</v>
      </c>
      <c r="J334" s="103" t="s">
        <v>1269</v>
      </c>
      <c r="K334" s="4" t="str">
        <f aca="false">IF(I334=J334,"✔ sesuai","✖ TIDAK sesuai")</f>
        <v>✔ sesuai</v>
      </c>
      <c r="L334" s="104"/>
    </row>
    <row r="335" customFormat="false" ht="15" hidden="false" customHeight="false" outlineLevel="0" collapsed="false">
      <c r="A335" s="13" t="n">
        <v>329</v>
      </c>
      <c r="B335" s="13" t="s">
        <v>1355</v>
      </c>
      <c r="C335" s="13" t="s">
        <v>1359</v>
      </c>
      <c r="D335" s="13" t="n">
        <v>2025</v>
      </c>
      <c r="E335" s="50" t="n">
        <f aca="false">BS_Proj!H15</f>
        <v>4175928930765</v>
      </c>
      <c r="F335" s="50" t="n">
        <f aca="false">BS!H21</f>
        <v>4175928930765</v>
      </c>
      <c r="G335" s="102" t="n">
        <f aca="false">IF(COUNT(E335:F335)=2,E335-F335,"")</f>
        <v>0</v>
      </c>
      <c r="H335" s="103" t="n">
        <v>1</v>
      </c>
      <c r="I335" s="4" t="str">
        <f aca="false">IF(COUNT(E335:F335)&lt;2,"N/A",IF(ABS(G335)&lt;=H335,"OK","❌"))</f>
        <v>OK</v>
      </c>
      <c r="J335" s="103" t="s">
        <v>1269</v>
      </c>
      <c r="K335" s="4" t="str">
        <f aca="false">IF(I335=J335,"✔ sesuai","✖ TIDAK sesuai")</f>
        <v>✔ sesuai</v>
      </c>
      <c r="L335" s="104"/>
    </row>
    <row r="336" customFormat="false" ht="15" hidden="false" customHeight="false" outlineLevel="0" collapsed="false">
      <c r="A336" s="13" t="n">
        <v>330</v>
      </c>
      <c r="B336" s="13" t="s">
        <v>1361</v>
      </c>
      <c r="C336" s="13" t="s">
        <v>1362</v>
      </c>
      <c r="D336" s="13" t="n">
        <v>2026</v>
      </c>
      <c r="E336" s="50" t="n">
        <f aca="false">BS_Proj!I15</f>
        <v>4100038993384.42</v>
      </c>
      <c r="F336" s="50" t="n">
        <f aca="false">BS_Proj!I28</f>
        <v>4100038993384.42</v>
      </c>
      <c r="G336" s="102" t="n">
        <f aca="false">IF(COUNT(E336:F336)=2,E336-F336,"")</f>
        <v>0</v>
      </c>
      <c r="H336" s="103" t="n">
        <v>1</v>
      </c>
      <c r="I336" s="4" t="str">
        <f aca="false">IF(COUNT(E336:F336)&lt;2,"N/A",IF(ABS(G336)&lt;=H336,"OK","❌"))</f>
        <v>OK</v>
      </c>
      <c r="J336" s="103" t="s">
        <v>1269</v>
      </c>
      <c r="K336" s="4" t="str">
        <f aca="false">IF(I336=J336,"✔ sesuai","✖ TIDAK sesuai")</f>
        <v>✔ sesuai</v>
      </c>
      <c r="L336" s="104"/>
    </row>
    <row r="337" customFormat="false" ht="15" hidden="false" customHeight="false" outlineLevel="0" collapsed="false">
      <c r="A337" s="13" t="n">
        <v>331</v>
      </c>
      <c r="B337" s="13" t="s">
        <v>1361</v>
      </c>
      <c r="C337" s="13" t="s">
        <v>1363</v>
      </c>
      <c r="D337" s="13" t="n">
        <v>2026</v>
      </c>
      <c r="E337" s="50" t="n">
        <f aca="false">CF_Proj!I24</f>
        <v>326460793048.636</v>
      </c>
      <c r="F337" s="50" t="n">
        <f aca="false">BS_Proj!I6</f>
        <v>326460793048.636</v>
      </c>
      <c r="G337" s="102" t="n">
        <f aca="false">IF(COUNT(E337:F337)=2,E337-F337,"")</f>
        <v>0</v>
      </c>
      <c r="H337" s="103" t="n">
        <v>1</v>
      </c>
      <c r="I337" s="4" t="str">
        <f aca="false">IF(COUNT(E337:F337)&lt;2,"N/A",IF(ABS(G337)&lt;=H337,"OK","❌"))</f>
        <v>OK</v>
      </c>
      <c r="J337" s="103" t="s">
        <v>1269</v>
      </c>
      <c r="K337" s="4" t="str">
        <f aca="false">IF(I337=J337,"✔ sesuai","✖ TIDAK sesuai")</f>
        <v>✔ sesuai</v>
      </c>
      <c r="L337" s="104"/>
    </row>
    <row r="338" customFormat="false" ht="15" hidden="false" customHeight="false" outlineLevel="0" collapsed="false">
      <c r="A338" s="13" t="n">
        <v>332</v>
      </c>
      <c r="B338" s="13" t="s">
        <v>1361</v>
      </c>
      <c r="C338" s="13" t="s">
        <v>1364</v>
      </c>
      <c r="D338" s="13" t="n">
        <v>2026</v>
      </c>
      <c r="E338" s="50" t="n">
        <f aca="false">BS_Proj!I24</f>
        <v>-385082544200.883</v>
      </c>
      <c r="F338" s="50" t="n">
        <f aca="false">BS_Proj!H24+IS_Proj!I25+CF_Proj!I19</f>
        <v>-385082544200.883</v>
      </c>
      <c r="G338" s="102" t="n">
        <f aca="false">IF(COUNT(E338:F338)=2,E338-F338,"")</f>
        <v>0</v>
      </c>
      <c r="H338" s="103" t="n">
        <v>1</v>
      </c>
      <c r="I338" s="4" t="str">
        <f aca="false">IF(COUNT(E338:F338)&lt;2,"N/A",IF(ABS(G338)&lt;=H338,"OK","❌"))</f>
        <v>OK</v>
      </c>
      <c r="J338" s="103" t="s">
        <v>1269</v>
      </c>
      <c r="K338" s="4" t="str">
        <f aca="false">IF(I338=J338,"✔ sesuai","✖ TIDAK sesuai")</f>
        <v>✔ sesuai</v>
      </c>
      <c r="L338" s="104"/>
    </row>
    <row r="339" customFormat="false" ht="15" hidden="false" customHeight="false" outlineLevel="0" collapsed="false">
      <c r="A339" s="13" t="n">
        <v>333</v>
      </c>
      <c r="B339" s="13" t="s">
        <v>1361</v>
      </c>
      <c r="C339" s="13" t="s">
        <v>1365</v>
      </c>
      <c r="D339" s="13" t="n">
        <v>2026</v>
      </c>
      <c r="E339" s="50" t="n">
        <f aca="false">BS_Proj!I11</f>
        <v>3279261963729.58</v>
      </c>
      <c r="F339" s="50" t="n">
        <f aca="false">BS_Proj!H11+Schedules_Proj!I7+Schedules_Proj!I8-Schedules_Proj!I9</f>
        <v>3279261963729.58</v>
      </c>
      <c r="G339" s="102" t="n">
        <f aca="false">IF(COUNT(E339:F339)=2,E339-F339,"")</f>
        <v>0</v>
      </c>
      <c r="H339" s="103" t="n">
        <v>1</v>
      </c>
      <c r="I339" s="4" t="str">
        <f aca="false">IF(COUNT(E339:F339)&lt;2,"N/A",IF(ABS(G339)&lt;=H339,"OK","❌"))</f>
        <v>OK</v>
      </c>
      <c r="J339" s="103" t="s">
        <v>1269</v>
      </c>
      <c r="K339" s="4" t="str">
        <f aca="false">IF(I339=J339,"✔ sesuai","✖ TIDAK sesuai")</f>
        <v>✔ sesuai</v>
      </c>
      <c r="L339" s="104"/>
    </row>
    <row r="340" customFormat="false" ht="15" hidden="false" customHeight="false" outlineLevel="0" collapsed="false">
      <c r="A340" s="13" t="n">
        <v>334</v>
      </c>
      <c r="B340" s="13" t="s">
        <v>1361</v>
      </c>
      <c r="C340" s="13" t="s">
        <v>1366</v>
      </c>
      <c r="D340" s="13" t="n">
        <v>2026</v>
      </c>
      <c r="E340" s="71" t="n">
        <f aca="false">IF(BS_Proj!I6&gt;=0,0,1)</f>
        <v>0</v>
      </c>
      <c r="F340" s="86" t="n">
        <f aca="false">0</f>
        <v>0</v>
      </c>
      <c r="G340" s="105" t="n">
        <f aca="false">IF(COUNT(E340:F340)=2,E340-F340,"")</f>
        <v>0</v>
      </c>
      <c r="H340" s="103" t="n">
        <v>0</v>
      </c>
      <c r="I340" s="4" t="str">
        <f aca="false">IF(COUNT(E340:F340)&lt;2,"N/A",IF(ABS(G340)&lt;=H340,"OK","❌"))</f>
        <v>OK</v>
      </c>
      <c r="J340" s="103" t="s">
        <v>1269</v>
      </c>
      <c r="K340" s="4" t="str">
        <f aca="false">IF(I340=J340,"✔ sesuai","✖ TIDAK sesuai")</f>
        <v>✔ sesuai</v>
      </c>
      <c r="L340" s="104" t="s">
        <v>1367</v>
      </c>
    </row>
    <row r="341" customFormat="false" ht="15" hidden="false" customHeight="false" outlineLevel="0" collapsed="false">
      <c r="A341" s="13" t="n">
        <v>335</v>
      </c>
      <c r="B341" s="13" t="s">
        <v>1361</v>
      </c>
      <c r="C341" s="13" t="s">
        <v>1362</v>
      </c>
      <c r="D341" s="13" t="n">
        <v>2027</v>
      </c>
      <c r="E341" s="50" t="n">
        <f aca="false">BS_Proj!J15</f>
        <v>4022532229981.92</v>
      </c>
      <c r="F341" s="50" t="n">
        <f aca="false">BS_Proj!J28</f>
        <v>4022532229981.92</v>
      </c>
      <c r="G341" s="102" t="n">
        <f aca="false">IF(COUNT(E341:F341)=2,E341-F341,"")</f>
        <v>0</v>
      </c>
      <c r="H341" s="103" t="n">
        <v>1</v>
      </c>
      <c r="I341" s="4" t="str">
        <f aca="false">IF(COUNT(E341:F341)&lt;2,"N/A",IF(ABS(G341)&lt;=H341,"OK","❌"))</f>
        <v>OK</v>
      </c>
      <c r="J341" s="103" t="s">
        <v>1269</v>
      </c>
      <c r="K341" s="4" t="str">
        <f aca="false">IF(I341=J341,"✔ sesuai","✖ TIDAK sesuai")</f>
        <v>✔ sesuai</v>
      </c>
      <c r="L341" s="104"/>
    </row>
    <row r="342" customFormat="false" ht="15" hidden="false" customHeight="false" outlineLevel="0" collapsed="false">
      <c r="A342" s="13" t="n">
        <v>336</v>
      </c>
      <c r="B342" s="13" t="s">
        <v>1361</v>
      </c>
      <c r="C342" s="13" t="s">
        <v>1363</v>
      </c>
      <c r="D342" s="13" t="n">
        <v>2027</v>
      </c>
      <c r="E342" s="50" t="n">
        <f aca="false">CF_Proj!J24</f>
        <v>232016838895.192</v>
      </c>
      <c r="F342" s="50" t="n">
        <f aca="false">BS_Proj!J6</f>
        <v>232016838895.192</v>
      </c>
      <c r="G342" s="102" t="n">
        <f aca="false">IF(COUNT(E342:F342)=2,E342-F342,"")</f>
        <v>0</v>
      </c>
      <c r="H342" s="103" t="n">
        <v>1</v>
      </c>
      <c r="I342" s="4" t="str">
        <f aca="false">IF(COUNT(E342:F342)&lt;2,"N/A",IF(ABS(G342)&lt;=H342,"OK","❌"))</f>
        <v>OK</v>
      </c>
      <c r="J342" s="103" t="s">
        <v>1269</v>
      </c>
      <c r="K342" s="4" t="str">
        <f aca="false">IF(I342=J342,"✔ sesuai","✖ TIDAK sesuai")</f>
        <v>✔ sesuai</v>
      </c>
      <c r="L342" s="104"/>
    </row>
    <row r="343" customFormat="false" ht="15" hidden="false" customHeight="false" outlineLevel="0" collapsed="false">
      <c r="A343" s="13" t="n">
        <v>337</v>
      </c>
      <c r="B343" s="13" t="s">
        <v>1361</v>
      </c>
      <c r="C343" s="13" t="s">
        <v>1364</v>
      </c>
      <c r="D343" s="13" t="n">
        <v>2027</v>
      </c>
      <c r="E343" s="50" t="n">
        <f aca="false">BS_Proj!J24</f>
        <v>-463098203209.23</v>
      </c>
      <c r="F343" s="50" t="n">
        <f aca="false">BS_Proj!I24+IS_Proj!J25+CF_Proj!J19</f>
        <v>-463098203209.23</v>
      </c>
      <c r="G343" s="102" t="n">
        <f aca="false">IF(COUNT(E343:F343)=2,E343-F343,"")</f>
        <v>0</v>
      </c>
      <c r="H343" s="103" t="n">
        <v>1</v>
      </c>
      <c r="I343" s="4" t="str">
        <f aca="false">IF(COUNT(E343:F343)&lt;2,"N/A",IF(ABS(G343)&lt;=H343,"OK","❌"))</f>
        <v>OK</v>
      </c>
      <c r="J343" s="103" t="s">
        <v>1269</v>
      </c>
      <c r="K343" s="4" t="str">
        <f aca="false">IF(I343=J343,"✔ sesuai","✖ TIDAK sesuai")</f>
        <v>✔ sesuai</v>
      </c>
      <c r="L343" s="104"/>
    </row>
    <row r="344" customFormat="false" ht="15" hidden="false" customHeight="false" outlineLevel="0" collapsed="false">
      <c r="A344" s="13" t="n">
        <v>338</v>
      </c>
      <c r="B344" s="13" t="s">
        <v>1361</v>
      </c>
      <c r="C344" s="13" t="s">
        <v>1365</v>
      </c>
      <c r="D344" s="13" t="n">
        <v>2027</v>
      </c>
      <c r="E344" s="50" t="n">
        <f aca="false">BS_Proj!J11</f>
        <v>3289873996801.97</v>
      </c>
      <c r="F344" s="50" t="n">
        <f aca="false">BS_Proj!I11+Schedules_Proj!J7+Schedules_Proj!J8-Schedules_Proj!J9</f>
        <v>3289873996801.97</v>
      </c>
      <c r="G344" s="102" t="n">
        <f aca="false">IF(COUNT(E344:F344)=2,E344-F344,"")</f>
        <v>0</v>
      </c>
      <c r="H344" s="103" t="n">
        <v>1</v>
      </c>
      <c r="I344" s="4" t="str">
        <f aca="false">IF(COUNT(E344:F344)&lt;2,"N/A",IF(ABS(G344)&lt;=H344,"OK","❌"))</f>
        <v>OK</v>
      </c>
      <c r="J344" s="103" t="s">
        <v>1269</v>
      </c>
      <c r="K344" s="4" t="str">
        <f aca="false">IF(I344=J344,"✔ sesuai","✖ TIDAK sesuai")</f>
        <v>✔ sesuai</v>
      </c>
      <c r="L344" s="104"/>
    </row>
    <row r="345" customFormat="false" ht="15" hidden="false" customHeight="false" outlineLevel="0" collapsed="false">
      <c r="A345" s="13" t="n">
        <v>339</v>
      </c>
      <c r="B345" s="13" t="s">
        <v>1361</v>
      </c>
      <c r="C345" s="13" t="s">
        <v>1366</v>
      </c>
      <c r="D345" s="13" t="n">
        <v>2027</v>
      </c>
      <c r="E345" s="71" t="n">
        <f aca="false">IF(BS_Proj!J6&gt;=0,0,1)</f>
        <v>0</v>
      </c>
      <c r="F345" s="86" t="n">
        <f aca="false">0</f>
        <v>0</v>
      </c>
      <c r="G345" s="105" t="n">
        <f aca="false">IF(COUNT(E345:F345)=2,E345-F345,"")</f>
        <v>0</v>
      </c>
      <c r="H345" s="103" t="n">
        <v>0</v>
      </c>
      <c r="I345" s="4" t="str">
        <f aca="false">IF(COUNT(E345:F345)&lt;2,"N/A",IF(ABS(G345)&lt;=H345,"OK","❌"))</f>
        <v>OK</v>
      </c>
      <c r="J345" s="103" t="s">
        <v>1269</v>
      </c>
      <c r="K345" s="4" t="str">
        <f aca="false">IF(I345=J345,"✔ sesuai","✖ TIDAK sesuai")</f>
        <v>✔ sesuai</v>
      </c>
      <c r="L345" s="104" t="s">
        <v>1367</v>
      </c>
    </row>
    <row r="346" customFormat="false" ht="15" hidden="false" customHeight="false" outlineLevel="0" collapsed="false">
      <c r="A346" s="13" t="n">
        <v>340</v>
      </c>
      <c r="B346" s="13" t="s">
        <v>1361</v>
      </c>
      <c r="C346" s="13" t="s">
        <v>1362</v>
      </c>
      <c r="D346" s="13" t="n">
        <v>2028</v>
      </c>
      <c r="E346" s="50" t="n">
        <f aca="false">BS_Proj!K15</f>
        <v>3946657188592.27</v>
      </c>
      <c r="F346" s="50" t="n">
        <f aca="false">BS_Proj!K28</f>
        <v>3946657188592.27</v>
      </c>
      <c r="G346" s="102" t="n">
        <f aca="false">IF(COUNT(E346:F346)=2,E346-F346,"")</f>
        <v>0</v>
      </c>
      <c r="H346" s="103" t="n">
        <v>1</v>
      </c>
      <c r="I346" s="4" t="str">
        <f aca="false">IF(COUNT(E346:F346)&lt;2,"N/A",IF(ABS(G346)&lt;=H346,"OK","❌"))</f>
        <v>OK</v>
      </c>
      <c r="J346" s="103" t="s">
        <v>1269</v>
      </c>
      <c r="K346" s="4" t="str">
        <f aca="false">IF(I346=J346,"✔ sesuai","✖ TIDAK sesuai")</f>
        <v>✔ sesuai</v>
      </c>
      <c r="L346" s="104"/>
    </row>
    <row r="347" customFormat="false" ht="15" hidden="false" customHeight="false" outlineLevel="0" collapsed="false">
      <c r="A347" s="13" t="n">
        <v>341</v>
      </c>
      <c r="B347" s="13" t="s">
        <v>1361</v>
      </c>
      <c r="C347" s="13" t="s">
        <v>1363</v>
      </c>
      <c r="D347" s="13" t="n">
        <v>2028</v>
      </c>
      <c r="E347" s="50" t="n">
        <f aca="false">CF_Proj!K24</f>
        <v>133942860431.423</v>
      </c>
      <c r="F347" s="50" t="n">
        <f aca="false">BS_Proj!K6</f>
        <v>133942860431.423</v>
      </c>
      <c r="G347" s="102" t="n">
        <f aca="false">IF(COUNT(E347:F347)=2,E347-F347,"")</f>
        <v>0</v>
      </c>
      <c r="H347" s="103" t="n">
        <v>1</v>
      </c>
      <c r="I347" s="4" t="str">
        <f aca="false">IF(COUNT(E347:F347)&lt;2,"N/A",IF(ABS(G347)&lt;=H347,"OK","❌"))</f>
        <v>OK</v>
      </c>
      <c r="J347" s="103" t="s">
        <v>1269</v>
      </c>
      <c r="K347" s="4" t="str">
        <f aca="false">IF(I347=J347,"✔ sesuai","✖ TIDAK sesuai")</f>
        <v>✔ sesuai</v>
      </c>
      <c r="L347" s="104"/>
    </row>
    <row r="348" customFormat="false" ht="15" hidden="false" customHeight="false" outlineLevel="0" collapsed="false">
      <c r="A348" s="13" t="n">
        <v>342</v>
      </c>
      <c r="B348" s="13" t="s">
        <v>1361</v>
      </c>
      <c r="C348" s="13" t="s">
        <v>1364</v>
      </c>
      <c r="D348" s="13" t="n">
        <v>2028</v>
      </c>
      <c r="E348" s="50" t="n">
        <f aca="false">BS_Proj!K24</f>
        <v>-539983905412.225</v>
      </c>
      <c r="F348" s="50" t="n">
        <f aca="false">BS_Proj!J24+IS_Proj!K25+CF_Proj!K19</f>
        <v>-539983905412.225</v>
      </c>
      <c r="G348" s="102" t="n">
        <f aca="false">IF(COUNT(E348:F348)=2,E348-F348,"")</f>
        <v>0</v>
      </c>
      <c r="H348" s="103" t="n">
        <v>1</v>
      </c>
      <c r="I348" s="4" t="str">
        <f aca="false">IF(COUNT(E348:F348)&lt;2,"N/A",IF(ABS(G348)&lt;=H348,"OK","❌"))</f>
        <v>OK</v>
      </c>
      <c r="J348" s="103" t="s">
        <v>1269</v>
      </c>
      <c r="K348" s="4" t="str">
        <f aca="false">IF(I348=J348,"✔ sesuai","✖ TIDAK sesuai")</f>
        <v>✔ sesuai</v>
      </c>
      <c r="L348" s="104"/>
    </row>
    <row r="349" customFormat="false" ht="15" hidden="false" customHeight="false" outlineLevel="0" collapsed="false">
      <c r="A349" s="13" t="n">
        <v>343</v>
      </c>
      <c r="B349" s="13" t="s">
        <v>1361</v>
      </c>
      <c r="C349" s="13" t="s">
        <v>1365</v>
      </c>
      <c r="D349" s="13" t="n">
        <v>2028</v>
      </c>
      <c r="E349" s="50" t="n">
        <f aca="false">BS_Proj!K11</f>
        <v>3304920958428.1</v>
      </c>
      <c r="F349" s="50" t="n">
        <f aca="false">BS_Proj!J11+Schedules_Proj!K7+Schedules_Proj!K8-Schedules_Proj!K9</f>
        <v>3304920958428.1</v>
      </c>
      <c r="G349" s="102" t="n">
        <f aca="false">IF(COUNT(E349:F349)=2,E349-F349,"")</f>
        <v>0</v>
      </c>
      <c r="H349" s="103" t="n">
        <v>1</v>
      </c>
      <c r="I349" s="4" t="str">
        <f aca="false">IF(COUNT(E349:F349)&lt;2,"N/A",IF(ABS(G349)&lt;=H349,"OK","❌"))</f>
        <v>OK</v>
      </c>
      <c r="J349" s="103" t="s">
        <v>1269</v>
      </c>
      <c r="K349" s="4" t="str">
        <f aca="false">IF(I349=J349,"✔ sesuai","✖ TIDAK sesuai")</f>
        <v>✔ sesuai</v>
      </c>
      <c r="L349" s="104"/>
    </row>
    <row r="350" customFormat="false" ht="15" hidden="false" customHeight="false" outlineLevel="0" collapsed="false">
      <c r="A350" s="13" t="n">
        <v>344</v>
      </c>
      <c r="B350" s="13" t="s">
        <v>1361</v>
      </c>
      <c r="C350" s="13" t="s">
        <v>1366</v>
      </c>
      <c r="D350" s="13" t="n">
        <v>2028</v>
      </c>
      <c r="E350" s="71" t="n">
        <f aca="false">IF(BS_Proj!K6&gt;=0,0,1)</f>
        <v>0</v>
      </c>
      <c r="F350" s="86" t="n">
        <f aca="false">0</f>
        <v>0</v>
      </c>
      <c r="G350" s="105" t="n">
        <f aca="false">IF(COUNT(E350:F350)=2,E350-F350,"")</f>
        <v>0</v>
      </c>
      <c r="H350" s="103" t="n">
        <v>0</v>
      </c>
      <c r="I350" s="4" t="str">
        <f aca="false">IF(COUNT(E350:F350)&lt;2,"N/A",IF(ABS(G350)&lt;=H350,"OK","❌"))</f>
        <v>OK</v>
      </c>
      <c r="J350" s="103" t="s">
        <v>1269</v>
      </c>
      <c r="K350" s="4" t="str">
        <f aca="false">IF(I350=J350,"✔ sesuai","✖ TIDAK sesuai")</f>
        <v>✔ sesuai</v>
      </c>
      <c r="L350" s="104" t="s">
        <v>1367</v>
      </c>
    </row>
    <row r="351" customFormat="false" ht="15" hidden="false" customHeight="false" outlineLevel="0" collapsed="false">
      <c r="A351" s="13" t="n">
        <v>345</v>
      </c>
      <c r="B351" s="13" t="s">
        <v>1361</v>
      </c>
      <c r="C351" s="13" t="s">
        <v>1362</v>
      </c>
      <c r="D351" s="13" t="n">
        <v>2029</v>
      </c>
      <c r="E351" s="50" t="n">
        <f aca="false">BS_Proj!L15</f>
        <v>3872776730259.28</v>
      </c>
      <c r="F351" s="50" t="n">
        <f aca="false">BS_Proj!L28</f>
        <v>3872776730259.28</v>
      </c>
      <c r="G351" s="102" t="n">
        <f aca="false">IF(COUNT(E351:F351)=2,E351-F351,"")</f>
        <v>0</v>
      </c>
      <c r="H351" s="103" t="n">
        <v>1</v>
      </c>
      <c r="I351" s="4" t="str">
        <f aca="false">IF(COUNT(E351:F351)&lt;2,"N/A",IF(ABS(G351)&lt;=H351,"OK","❌"))</f>
        <v>OK</v>
      </c>
      <c r="J351" s="103" t="s">
        <v>1269</v>
      </c>
      <c r="K351" s="4" t="str">
        <f aca="false">IF(I351=J351,"✔ sesuai","✖ TIDAK sesuai")</f>
        <v>✔ sesuai</v>
      </c>
      <c r="L351" s="104"/>
    </row>
    <row r="352" customFormat="false" ht="15" hidden="false" customHeight="false" outlineLevel="0" collapsed="false">
      <c r="A352" s="13" t="n">
        <v>346</v>
      </c>
      <c r="B352" s="13" t="s">
        <v>1361</v>
      </c>
      <c r="C352" s="13" t="s">
        <v>1363</v>
      </c>
      <c r="D352" s="13" t="n">
        <v>2029</v>
      </c>
      <c r="E352" s="50" t="n">
        <f aca="false">CF_Proj!L24</f>
        <v>31934329950.1907</v>
      </c>
      <c r="F352" s="50" t="n">
        <f aca="false">BS_Proj!L6</f>
        <v>31934329950.1907</v>
      </c>
      <c r="G352" s="102" t="n">
        <f aca="false">IF(COUNT(E352:F352)=2,E352-F352,"")</f>
        <v>0</v>
      </c>
      <c r="H352" s="103" t="n">
        <v>1</v>
      </c>
      <c r="I352" s="4" t="str">
        <f aca="false">IF(COUNT(E352:F352)&lt;2,"N/A",IF(ABS(G352)&lt;=H352,"OK","❌"))</f>
        <v>OK</v>
      </c>
      <c r="J352" s="103" t="s">
        <v>1269</v>
      </c>
      <c r="K352" s="4" t="str">
        <f aca="false">IF(I352=J352,"✔ sesuai","✖ TIDAK sesuai")</f>
        <v>✔ sesuai</v>
      </c>
      <c r="L352" s="104"/>
    </row>
    <row r="353" customFormat="false" ht="15" hidden="false" customHeight="false" outlineLevel="0" collapsed="false">
      <c r="A353" s="13" t="n">
        <v>347</v>
      </c>
      <c r="B353" s="13" t="s">
        <v>1361</v>
      </c>
      <c r="C353" s="13" t="s">
        <v>1364</v>
      </c>
      <c r="D353" s="13" t="n">
        <v>2029</v>
      </c>
      <c r="E353" s="50" t="n">
        <f aca="false">BS_Proj!L24</f>
        <v>-615448611702.457</v>
      </c>
      <c r="F353" s="50" t="n">
        <f aca="false">BS_Proj!K24+IS_Proj!L25+CF_Proj!L19</f>
        <v>-615448611702.457</v>
      </c>
      <c r="G353" s="102" t="n">
        <f aca="false">IF(COUNT(E353:F353)=2,E353-F353,"")</f>
        <v>0</v>
      </c>
      <c r="H353" s="103" t="n">
        <v>1</v>
      </c>
      <c r="I353" s="4" t="str">
        <f aca="false">IF(COUNT(E353:F353)&lt;2,"N/A",IF(ABS(G353)&lt;=H353,"OK","❌"))</f>
        <v>OK</v>
      </c>
      <c r="J353" s="103" t="s">
        <v>1269</v>
      </c>
      <c r="K353" s="4" t="str">
        <f aca="false">IF(I353=J353,"✔ sesuai","✖ TIDAK sesuai")</f>
        <v>✔ sesuai</v>
      </c>
      <c r="L353" s="104"/>
    </row>
    <row r="354" customFormat="false" ht="15" hidden="false" customHeight="false" outlineLevel="0" collapsed="false">
      <c r="A354" s="13" t="n">
        <v>348</v>
      </c>
      <c r="B354" s="13" t="s">
        <v>1361</v>
      </c>
      <c r="C354" s="13" t="s">
        <v>1365</v>
      </c>
      <c r="D354" s="13" t="n">
        <v>2029</v>
      </c>
      <c r="E354" s="50" t="n">
        <f aca="false">BS_Proj!L11</f>
        <v>3324960849399.38</v>
      </c>
      <c r="F354" s="50" t="n">
        <f aca="false">BS_Proj!K11+Schedules_Proj!L7+Schedules_Proj!L8-Schedules_Proj!L9</f>
        <v>3324960849399.38</v>
      </c>
      <c r="G354" s="102" t="n">
        <f aca="false">IF(COUNT(E354:F354)=2,E354-F354,"")</f>
        <v>0</v>
      </c>
      <c r="H354" s="103" t="n">
        <v>1</v>
      </c>
      <c r="I354" s="4" t="str">
        <f aca="false">IF(COUNT(E354:F354)&lt;2,"N/A",IF(ABS(G354)&lt;=H354,"OK","❌"))</f>
        <v>OK</v>
      </c>
      <c r="J354" s="103" t="s">
        <v>1269</v>
      </c>
      <c r="K354" s="4" t="str">
        <f aca="false">IF(I354=J354,"✔ sesuai","✖ TIDAK sesuai")</f>
        <v>✔ sesuai</v>
      </c>
      <c r="L354" s="104"/>
    </row>
    <row r="355" customFormat="false" ht="15" hidden="false" customHeight="false" outlineLevel="0" collapsed="false">
      <c r="A355" s="13" t="n">
        <v>349</v>
      </c>
      <c r="B355" s="13" t="s">
        <v>1361</v>
      </c>
      <c r="C355" s="13" t="s">
        <v>1366</v>
      </c>
      <c r="D355" s="13" t="n">
        <v>2029</v>
      </c>
      <c r="E355" s="71" t="n">
        <f aca="false">IF(BS_Proj!L6&gt;=0,0,1)</f>
        <v>0</v>
      </c>
      <c r="F355" s="86" t="n">
        <f aca="false">0</f>
        <v>0</v>
      </c>
      <c r="G355" s="105" t="n">
        <f aca="false">IF(COUNT(E355:F355)=2,E355-F355,"")</f>
        <v>0</v>
      </c>
      <c r="H355" s="103" t="n">
        <v>0</v>
      </c>
      <c r="I355" s="4" t="str">
        <f aca="false">IF(COUNT(E355:F355)&lt;2,"N/A",IF(ABS(G355)&lt;=H355,"OK","❌"))</f>
        <v>OK</v>
      </c>
      <c r="J355" s="103" t="s">
        <v>1269</v>
      </c>
      <c r="K355" s="4" t="str">
        <f aca="false">IF(I355=J355,"✔ sesuai","✖ TIDAK sesuai")</f>
        <v>✔ sesuai</v>
      </c>
      <c r="L355" s="104" t="s">
        <v>1367</v>
      </c>
    </row>
    <row r="356" customFormat="false" ht="15" hidden="false" customHeight="false" outlineLevel="0" collapsed="false">
      <c r="A356" s="13" t="n">
        <v>350</v>
      </c>
      <c r="B356" s="13" t="s">
        <v>1361</v>
      </c>
      <c r="C356" s="13" t="s">
        <v>1362</v>
      </c>
      <c r="D356" s="13" t="n">
        <v>2030</v>
      </c>
      <c r="E356" s="50" t="n">
        <f aca="false">BS_Proj!M15</f>
        <v>3801305557289.51</v>
      </c>
      <c r="F356" s="50" t="n">
        <f aca="false">BS_Proj!M28</f>
        <v>3801305557289.51</v>
      </c>
      <c r="G356" s="102" t="n">
        <f aca="false">IF(COUNT(E356:F356)=2,E356-F356,"")</f>
        <v>0</v>
      </c>
      <c r="H356" s="103" t="n">
        <v>1</v>
      </c>
      <c r="I356" s="4" t="str">
        <f aca="false">IF(COUNT(E356:F356)&lt;2,"N/A",IF(ABS(G356)&lt;=H356,"OK","❌"))</f>
        <v>OK</v>
      </c>
      <c r="J356" s="103" t="s">
        <v>1269</v>
      </c>
      <c r="K356" s="4" t="str">
        <f aca="false">IF(I356=J356,"✔ sesuai","✖ TIDAK sesuai")</f>
        <v>✔ sesuai</v>
      </c>
      <c r="L356" s="104"/>
    </row>
    <row r="357" customFormat="false" ht="15" hidden="false" customHeight="false" outlineLevel="0" collapsed="false">
      <c r="A357" s="13" t="n">
        <v>351</v>
      </c>
      <c r="B357" s="13" t="s">
        <v>1361</v>
      </c>
      <c r="C357" s="13" t="s">
        <v>1363</v>
      </c>
      <c r="D357" s="13" t="n">
        <v>2030</v>
      </c>
      <c r="E357" s="50" t="n">
        <f aca="false">CF_Proj!M24</f>
        <v>-74350240780.4187</v>
      </c>
      <c r="F357" s="50" t="n">
        <f aca="false">BS_Proj!M6</f>
        <v>-74350240780.4187</v>
      </c>
      <c r="G357" s="102" t="n">
        <f aca="false">IF(COUNT(E357:F357)=2,E357-F357,"")</f>
        <v>0</v>
      </c>
      <c r="H357" s="103" t="n">
        <v>1</v>
      </c>
      <c r="I357" s="4" t="str">
        <f aca="false">IF(COUNT(E357:F357)&lt;2,"N/A",IF(ABS(G357)&lt;=H357,"OK","❌"))</f>
        <v>OK</v>
      </c>
      <c r="J357" s="103" t="s">
        <v>1269</v>
      </c>
      <c r="K357" s="4" t="str">
        <f aca="false">IF(I357=J357,"✔ sesuai","✖ TIDAK sesuai")</f>
        <v>✔ sesuai</v>
      </c>
      <c r="L357" s="104"/>
    </row>
    <row r="358" customFormat="false" ht="15" hidden="false" customHeight="false" outlineLevel="0" collapsed="false">
      <c r="A358" s="13" t="n">
        <v>352</v>
      </c>
      <c r="B358" s="13" t="s">
        <v>1361</v>
      </c>
      <c r="C358" s="13" t="s">
        <v>1364</v>
      </c>
      <c r="D358" s="13" t="n">
        <v>2030</v>
      </c>
      <c r="E358" s="50" t="n">
        <f aca="false">BS_Proj!M24</f>
        <v>-689159181730.614</v>
      </c>
      <c r="F358" s="50" t="n">
        <f aca="false">BS_Proj!L24+IS_Proj!M25+CF_Proj!M19</f>
        <v>-689159181730.614</v>
      </c>
      <c r="G358" s="102" t="n">
        <f aca="false">IF(COUNT(E358:F358)=2,E358-F358,"")</f>
        <v>0</v>
      </c>
      <c r="H358" s="103" t="n">
        <v>1</v>
      </c>
      <c r="I358" s="4" t="str">
        <f aca="false">IF(COUNT(E358:F358)&lt;2,"N/A",IF(ABS(G358)&lt;=H358,"OK","❌"))</f>
        <v>OK</v>
      </c>
      <c r="J358" s="103" t="s">
        <v>1269</v>
      </c>
      <c r="K358" s="4" t="str">
        <f aca="false">IF(I358=J358,"✔ sesuai","✖ TIDAK sesuai")</f>
        <v>✔ sesuai</v>
      </c>
      <c r="L358" s="104"/>
    </row>
    <row r="359" customFormat="false" ht="15" hidden="false" customHeight="false" outlineLevel="0" collapsed="false">
      <c r="A359" s="13" t="n">
        <v>353</v>
      </c>
      <c r="B359" s="13" t="s">
        <v>1361</v>
      </c>
      <c r="C359" s="13" t="s">
        <v>1365</v>
      </c>
      <c r="D359" s="13" t="n">
        <v>2030</v>
      </c>
      <c r="E359" s="50" t="n">
        <f aca="false">BS_Proj!M11</f>
        <v>3350625820265.54</v>
      </c>
      <c r="F359" s="50" t="n">
        <f aca="false">BS_Proj!L11+Schedules_Proj!M7+Schedules_Proj!M8-Schedules_Proj!M9</f>
        <v>3350625820265.54</v>
      </c>
      <c r="G359" s="102" t="n">
        <f aca="false">IF(COUNT(E359:F359)=2,E359-F359,"")</f>
        <v>0</v>
      </c>
      <c r="H359" s="103" t="n">
        <v>1</v>
      </c>
      <c r="I359" s="4" t="str">
        <f aca="false">IF(COUNT(E359:F359)&lt;2,"N/A",IF(ABS(G359)&lt;=H359,"OK","❌"))</f>
        <v>OK</v>
      </c>
      <c r="J359" s="103" t="s">
        <v>1269</v>
      </c>
      <c r="K359" s="4" t="str">
        <f aca="false">IF(I359=J359,"✔ sesuai","✖ TIDAK sesuai")</f>
        <v>✔ sesuai</v>
      </c>
      <c r="L359" s="104"/>
    </row>
    <row r="360" customFormat="false" ht="15" hidden="false" customHeight="false" outlineLevel="0" collapsed="false">
      <c r="A360" s="13" t="n">
        <v>354</v>
      </c>
      <c r="B360" s="13" t="s">
        <v>1361</v>
      </c>
      <c r="C360" s="13" t="s">
        <v>1366</v>
      </c>
      <c r="D360" s="13" t="n">
        <v>2030</v>
      </c>
      <c r="E360" s="71" t="n">
        <f aca="false">IF(BS_Proj!M6&gt;=0,0,1)</f>
        <v>1</v>
      </c>
      <c r="F360" s="86" t="n">
        <f aca="false">0</f>
        <v>0</v>
      </c>
      <c r="G360" s="105" t="n">
        <f aca="false">IF(COUNT(E360:F360)=2,E360-F360,"")</f>
        <v>1</v>
      </c>
      <c r="H360" s="103" t="n">
        <v>0</v>
      </c>
      <c r="I360" s="4" t="str">
        <f aca="false">IF(COUNT(E360:F360)&lt;2,"N/A",IF(ABS(G360)&lt;=H360,"OK","INFO"))</f>
        <v>INFO</v>
      </c>
      <c r="J360" s="103" t="s">
        <v>1350</v>
      </c>
      <c r="K360" s="4" t="str">
        <f aca="false">IF(I360=J360,"✔ sesuai","✖ TIDAK sesuai")</f>
        <v>✔ sesuai</v>
      </c>
      <c r="L360" s="104" t="s">
        <v>1367</v>
      </c>
    </row>
  </sheetData>
  <autoFilter ref="A6:L360"/>
  <conditionalFormatting sqref="K7:K360">
    <cfRule type="cellIs" priority="2" operator="equal" aboveAverage="0" equalAverage="0" bottom="0" percent="0" rank="0" text="" dxfId="0">
      <formula>"✖ TIDAK sesuai"</formula>
    </cfRule>
  </conditionalFormatting>
  <conditionalFormatting sqref="I7:I360">
    <cfRule type="cellIs" priority="3" operator="equal" aboveAverage="0" equalAverage="0" bottom="0" percent="0" rank="0" text="" dxfId="10">
      <formula>"❌"</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5" min="3" style="0" width="18"/>
    <col collapsed="false" customWidth="true" hidden="false" outlineLevel="0" max="6" min="6" style="0" width="16"/>
    <col collapsed="false" customWidth="true" hidden="false" outlineLevel="0" max="7" min="7" style="0" width="90"/>
    <col collapsed="false" customWidth="true" hidden="false" outlineLevel="0" max="8" min="8" style="0" width="42"/>
  </cols>
  <sheetData>
    <row r="1" customFormat="false" ht="17.35" hidden="false" customHeight="false" outlineLevel="0" collapsed="false">
      <c r="A1" s="14" t="s">
        <v>1368</v>
      </c>
    </row>
    <row r="2" customFormat="false" ht="15" hidden="false" customHeight="false" outlineLevel="0" collapsed="false">
      <c r="A2" s="15" t="s">
        <v>1369</v>
      </c>
    </row>
    <row r="4" customFormat="false" ht="15" hidden="false" customHeight="false" outlineLevel="0" collapsed="false">
      <c r="A4" s="25" t="s">
        <v>318</v>
      </c>
      <c r="B4" s="25" t="s">
        <v>1370</v>
      </c>
      <c r="C4" s="25" t="s">
        <v>1259</v>
      </c>
      <c r="D4" s="25" t="s">
        <v>1260</v>
      </c>
      <c r="E4" s="25" t="s">
        <v>1261</v>
      </c>
      <c r="F4" s="25" t="s">
        <v>1371</v>
      </c>
      <c r="G4" s="25" t="s">
        <v>1372</v>
      </c>
      <c r="H4" s="25" t="s">
        <v>1373</v>
      </c>
    </row>
    <row r="5" customFormat="false" ht="51.75" hidden="false" customHeight="true" outlineLevel="0" collapsed="false">
      <c r="A5" s="106" t="s">
        <v>1374</v>
      </c>
      <c r="B5" s="10" t="s">
        <v>1375</v>
      </c>
      <c r="C5" s="107" t="n">
        <v>80</v>
      </c>
      <c r="D5" s="107" t="n">
        <v>80</v>
      </c>
      <c r="E5" s="108" t="n">
        <f aca="false">C5-D5</f>
        <v>0</v>
      </c>
      <c r="F5" s="10" t="s">
        <v>1376</v>
      </c>
      <c r="G5" s="10" t="s">
        <v>1377</v>
      </c>
      <c r="H5" s="10" t="s">
        <v>1378</v>
      </c>
    </row>
    <row r="6" customFormat="false" ht="78" hidden="false" customHeight="true" outlineLevel="0" collapsed="false">
      <c r="A6" s="106" t="s">
        <v>1379</v>
      </c>
      <c r="B6" s="10" t="s">
        <v>1380</v>
      </c>
      <c r="C6" s="107"/>
      <c r="D6" s="107"/>
      <c r="E6" s="108"/>
      <c r="F6" s="10" t="s">
        <v>1381</v>
      </c>
      <c r="G6" s="10" t="s">
        <v>1382</v>
      </c>
      <c r="H6" s="10" t="s">
        <v>1383</v>
      </c>
    </row>
    <row r="7" customFormat="false" ht="51.75" hidden="false" customHeight="true" outlineLevel="0" collapsed="false">
      <c r="A7" s="106" t="s">
        <v>1384</v>
      </c>
      <c r="B7" s="10" t="s">
        <v>1385</v>
      </c>
      <c r="C7" s="107" t="n">
        <v>0.51</v>
      </c>
      <c r="D7" s="107" t="n">
        <v>0.43</v>
      </c>
      <c r="E7" s="108" t="n">
        <f aca="false">C7-D7</f>
        <v>0.08</v>
      </c>
      <c r="F7" s="10" t="s">
        <v>1386</v>
      </c>
      <c r="G7" s="10" t="s">
        <v>1387</v>
      </c>
      <c r="H7" s="10" t="s">
        <v>1388</v>
      </c>
    </row>
    <row r="8" customFormat="false" ht="181.5" hidden="false" customHeight="true" outlineLevel="0" collapsed="false">
      <c r="A8" s="106" t="s">
        <v>1389</v>
      </c>
      <c r="B8" s="10" t="s">
        <v>1390</v>
      </c>
      <c r="C8" s="107" t="n">
        <v>233970724609</v>
      </c>
      <c r="D8" s="107" t="n">
        <v>260426191178</v>
      </c>
      <c r="E8" s="108" t="n">
        <f aca="false">C8-D8</f>
        <v>-26455466569</v>
      </c>
      <c r="F8" s="10" t="s">
        <v>1391</v>
      </c>
      <c r="G8" s="10" t="s">
        <v>1392</v>
      </c>
      <c r="H8" s="10" t="s">
        <v>1393</v>
      </c>
    </row>
    <row r="9" customFormat="false" ht="39" hidden="false" customHeight="true" outlineLevel="0" collapsed="false">
      <c r="A9" s="106" t="s">
        <v>1394</v>
      </c>
      <c r="B9" s="10" t="s">
        <v>1395</v>
      </c>
      <c r="C9" s="107" t="n">
        <v>97800000000</v>
      </c>
      <c r="D9" s="107" t="n">
        <v>439751605228</v>
      </c>
      <c r="E9" s="108" t="n">
        <f aca="false">C9-D9</f>
        <v>-341951605228</v>
      </c>
      <c r="F9" s="10" t="s">
        <v>1396</v>
      </c>
      <c r="G9" s="10" t="s">
        <v>1397</v>
      </c>
      <c r="H9" s="10" t="s">
        <v>1398</v>
      </c>
    </row>
    <row r="10" customFormat="false" ht="51.75" hidden="false" customHeight="true" outlineLevel="0" collapsed="false">
      <c r="A10" s="106" t="s">
        <v>1399</v>
      </c>
      <c r="B10" s="10" t="s">
        <v>1400</v>
      </c>
      <c r="C10" s="107" t="n">
        <v>1083635029572</v>
      </c>
      <c r="D10" s="107" t="n">
        <v>96341923590</v>
      </c>
      <c r="E10" s="108" t="n">
        <f aca="false">C10-D10</f>
        <v>987293105982</v>
      </c>
      <c r="F10" s="10" t="s">
        <v>1401</v>
      </c>
      <c r="G10" s="10" t="s">
        <v>1402</v>
      </c>
      <c r="H10" s="10" t="s">
        <v>1403</v>
      </c>
    </row>
    <row r="11" customFormat="false" ht="39" hidden="false" customHeight="true" outlineLevel="0" collapsed="false">
      <c r="A11" s="106" t="s">
        <v>1404</v>
      </c>
      <c r="B11" s="10" t="s">
        <v>1405</v>
      </c>
      <c r="C11" s="107"/>
      <c r="D11" s="107"/>
      <c r="E11" s="108"/>
      <c r="F11" s="10" t="s">
        <v>1406</v>
      </c>
      <c r="G11" s="10" t="s">
        <v>1407</v>
      </c>
      <c r="H11" s="10" t="s">
        <v>1408</v>
      </c>
    </row>
    <row r="12" customFormat="false" ht="78" hidden="false" customHeight="true" outlineLevel="0" collapsed="false">
      <c r="A12" s="106" t="s">
        <v>1409</v>
      </c>
      <c r="B12" s="10" t="s">
        <v>1410</v>
      </c>
      <c r="C12" s="107" t="n">
        <v>935</v>
      </c>
      <c r="D12" s="107" t="n">
        <v>10</v>
      </c>
      <c r="E12" s="108" t="n">
        <f aca="false">C12-D12</f>
        <v>925</v>
      </c>
      <c r="F12" s="10" t="s">
        <v>1411</v>
      </c>
      <c r="G12" s="10" t="s">
        <v>1412</v>
      </c>
      <c r="H12" s="10" t="s">
        <v>1413</v>
      </c>
    </row>
    <row r="13" customFormat="false" ht="30" hidden="false" customHeight="true" outlineLevel="0" collapsed="false">
      <c r="A13" s="106" t="s">
        <v>1414</v>
      </c>
      <c r="B13" s="10" t="s">
        <v>1415</v>
      </c>
      <c r="C13" s="107" t="n">
        <v>2653244177</v>
      </c>
      <c r="D13" s="107" t="n">
        <v>-432641188</v>
      </c>
      <c r="E13" s="108" t="n">
        <f aca="false">C13-D13</f>
        <v>3085885365</v>
      </c>
      <c r="F13" s="10" t="s">
        <v>1416</v>
      </c>
      <c r="G13" s="10" t="s">
        <v>1417</v>
      </c>
      <c r="H13" s="10" t="s">
        <v>1418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M10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4" min="3" style="0" width="9"/>
    <col collapsed="false" customWidth="true" hidden="false" outlineLevel="0" max="5" min="5" style="0" width="30"/>
    <col collapsed="false" customWidth="true" hidden="false" outlineLevel="0" max="6" min="6" style="0" width="55"/>
    <col collapsed="false" customWidth="true" hidden="false" outlineLevel="0" max="7" min="7" style="0" width="20"/>
    <col collapsed="false" customWidth="true" hidden="false" outlineLevel="0" max="9" min="8" style="0" width="8"/>
    <col collapsed="false" customWidth="true" hidden="false" outlineLevel="0" max="10" min="10" style="0" width="9"/>
    <col collapsed="false" customWidth="true" hidden="false" outlineLevel="0" max="11" min="11" style="0" width="26"/>
    <col collapsed="false" customWidth="true" hidden="false" outlineLevel="0" max="12" min="12" style="0" width="12"/>
    <col collapsed="false" customWidth="true" hidden="false" outlineLevel="0" max="13" min="13" style="0" width="40"/>
  </cols>
  <sheetData>
    <row r="1" customFormat="false" ht="17.35" hidden="false" customHeight="false" outlineLevel="0" collapsed="false">
      <c r="A1" s="14" t="s">
        <v>1419</v>
      </c>
    </row>
    <row r="2" customFormat="false" ht="15" hidden="false" customHeight="false" outlineLevel="0" collapsed="false">
      <c r="A2" s="15" t="s">
        <v>1420</v>
      </c>
    </row>
    <row r="4" customFormat="false" ht="15" hidden="false" customHeight="false" outlineLevel="0" collapsed="false">
      <c r="A4" s="24" t="s">
        <v>1421</v>
      </c>
      <c r="B4" s="24" t="s">
        <v>1422</v>
      </c>
      <c r="C4" s="24" t="s">
        <v>1423</v>
      </c>
      <c r="D4" s="24" t="s">
        <v>1424</v>
      </c>
      <c r="E4" s="24" t="s">
        <v>1425</v>
      </c>
      <c r="F4" s="24" t="s">
        <v>1426</v>
      </c>
      <c r="G4" s="24" t="s">
        <v>1427</v>
      </c>
      <c r="H4" s="24" t="s">
        <v>1428</v>
      </c>
      <c r="I4" s="24" t="s">
        <v>1429</v>
      </c>
      <c r="J4" s="24" t="s">
        <v>1430</v>
      </c>
      <c r="K4" s="24" t="s">
        <v>1431</v>
      </c>
      <c r="L4" s="24" t="s">
        <v>1432</v>
      </c>
      <c r="M4" s="24" t="s">
        <v>1433</v>
      </c>
    </row>
    <row r="5" customFormat="false" ht="15" hidden="false" customHeight="false" outlineLevel="0" collapsed="false">
      <c r="A5" s="13" t="s">
        <v>595</v>
      </c>
      <c r="B5" s="13" t="s">
        <v>594</v>
      </c>
      <c r="C5" s="13" t="s">
        <v>1434</v>
      </c>
      <c r="D5" s="13" t="s">
        <v>57</v>
      </c>
      <c r="E5" s="13" t="s">
        <v>612</v>
      </c>
      <c r="F5" s="13" t="s">
        <v>613</v>
      </c>
      <c r="G5" s="61" t="n">
        <v>216296095571</v>
      </c>
      <c r="H5" s="13" t="s">
        <v>1435</v>
      </c>
      <c r="I5" s="13"/>
      <c r="J5" s="13" t="s">
        <v>1436</v>
      </c>
      <c r="K5" s="13" t="s">
        <v>1437</v>
      </c>
      <c r="L5" s="13" t="s">
        <v>1438</v>
      </c>
      <c r="M5" s="13"/>
    </row>
    <row r="6" customFormat="false" ht="15" hidden="false" customHeight="false" outlineLevel="0" collapsed="false">
      <c r="A6" s="13" t="s">
        <v>595</v>
      </c>
      <c r="B6" s="13" t="s">
        <v>594</v>
      </c>
      <c r="C6" s="13" t="s">
        <v>1439</v>
      </c>
      <c r="D6" s="13" t="s">
        <v>57</v>
      </c>
      <c r="E6" s="13" t="s">
        <v>612</v>
      </c>
      <c r="F6" s="13" t="s">
        <v>613</v>
      </c>
      <c r="G6" s="61" t="n">
        <v>290934356126</v>
      </c>
      <c r="H6" s="13" t="s">
        <v>1435</v>
      </c>
      <c r="I6" s="13"/>
      <c r="J6" s="13" t="s">
        <v>1440</v>
      </c>
      <c r="K6" s="13" t="s">
        <v>1441</v>
      </c>
      <c r="L6" s="13" t="s">
        <v>1438</v>
      </c>
      <c r="M6" s="13"/>
    </row>
    <row r="7" customFormat="false" ht="15" hidden="false" customHeight="false" outlineLevel="0" collapsed="false">
      <c r="A7" s="13" t="s">
        <v>595</v>
      </c>
      <c r="B7" s="13" t="s">
        <v>594</v>
      </c>
      <c r="C7" s="13" t="s">
        <v>1442</v>
      </c>
      <c r="D7" s="13" t="s">
        <v>57</v>
      </c>
      <c r="E7" s="13" t="s">
        <v>612</v>
      </c>
      <c r="F7" s="13" t="s">
        <v>613</v>
      </c>
      <c r="G7" s="61" t="n">
        <v>233970724609</v>
      </c>
      <c r="H7" s="13" t="s">
        <v>1435</v>
      </c>
      <c r="I7" s="13"/>
      <c r="J7" s="13" t="s">
        <v>1440</v>
      </c>
      <c r="K7" s="13" t="s">
        <v>606</v>
      </c>
      <c r="L7" s="13" t="s">
        <v>1443</v>
      </c>
      <c r="M7" s="13"/>
    </row>
    <row r="8" customFormat="false" ht="15" hidden="false" customHeight="false" outlineLevel="0" collapsed="false">
      <c r="A8" s="13" t="s">
        <v>595</v>
      </c>
      <c r="B8" s="13" t="s">
        <v>594</v>
      </c>
      <c r="C8" s="13" t="s">
        <v>1444</v>
      </c>
      <c r="D8" s="13" t="s">
        <v>57</v>
      </c>
      <c r="E8" s="13" t="s">
        <v>612</v>
      </c>
      <c r="F8" s="13" t="s">
        <v>613</v>
      </c>
      <c r="G8" s="61" t="n">
        <v>242680799183</v>
      </c>
      <c r="H8" s="13" t="s">
        <v>1435</v>
      </c>
      <c r="I8" s="13"/>
      <c r="J8" s="13" t="s">
        <v>1445</v>
      </c>
      <c r="K8" s="13" t="s">
        <v>607</v>
      </c>
      <c r="L8" s="13" t="s">
        <v>1443</v>
      </c>
      <c r="M8" s="13"/>
    </row>
    <row r="9" customFormat="false" ht="15" hidden="false" customHeight="false" outlineLevel="0" collapsed="false">
      <c r="A9" s="13" t="s">
        <v>595</v>
      </c>
      <c r="B9" s="13" t="s">
        <v>594</v>
      </c>
      <c r="C9" s="13" t="s">
        <v>1446</v>
      </c>
      <c r="D9" s="13" t="s">
        <v>57</v>
      </c>
      <c r="E9" s="13" t="s">
        <v>612</v>
      </c>
      <c r="F9" s="13" t="s">
        <v>613</v>
      </c>
      <c r="G9" s="61" t="n">
        <v>319022410802</v>
      </c>
      <c r="H9" s="13" t="s">
        <v>1435</v>
      </c>
      <c r="I9" s="13"/>
      <c r="J9" s="13" t="s">
        <v>1447</v>
      </c>
      <c r="K9" s="13" t="s">
        <v>608</v>
      </c>
      <c r="L9" s="13" t="s">
        <v>1443</v>
      </c>
      <c r="M9" s="13"/>
    </row>
    <row r="10" customFormat="false" ht="15" hidden="false" customHeight="false" outlineLevel="0" collapsed="false">
      <c r="A10" s="13" t="s">
        <v>595</v>
      </c>
      <c r="B10" s="13" t="s">
        <v>594</v>
      </c>
      <c r="C10" s="13" t="s">
        <v>1448</v>
      </c>
      <c r="D10" s="13" t="s">
        <v>57</v>
      </c>
      <c r="E10" s="13" t="s">
        <v>612</v>
      </c>
      <c r="F10" s="13" t="s">
        <v>613</v>
      </c>
      <c r="G10" s="61" t="n">
        <v>439751605228</v>
      </c>
      <c r="H10" s="13" t="s">
        <v>1435</v>
      </c>
      <c r="I10" s="13"/>
      <c r="J10" s="13" t="s">
        <v>1449</v>
      </c>
      <c r="K10" s="13" t="s">
        <v>609</v>
      </c>
      <c r="L10" s="13" t="s">
        <v>1443</v>
      </c>
      <c r="M10" s="13"/>
    </row>
    <row r="11" customFormat="false" ht="15" hidden="false" customHeight="false" outlineLevel="0" collapsed="false">
      <c r="A11" s="13" t="s">
        <v>595</v>
      </c>
      <c r="B11" s="13" t="s">
        <v>594</v>
      </c>
      <c r="C11" s="13" t="s">
        <v>1434</v>
      </c>
      <c r="D11" s="13" t="s">
        <v>57</v>
      </c>
      <c r="E11" s="13" t="s">
        <v>615</v>
      </c>
      <c r="F11" s="13" t="s">
        <v>616</v>
      </c>
      <c r="G11" s="61" t="n">
        <v>-113404642135</v>
      </c>
      <c r="H11" s="13" t="s">
        <v>1435</v>
      </c>
      <c r="I11" s="13"/>
      <c r="J11" s="13" t="s">
        <v>1436</v>
      </c>
      <c r="K11" s="13" t="s">
        <v>1437</v>
      </c>
      <c r="L11" s="13" t="s">
        <v>1438</v>
      </c>
      <c r="M11" s="13"/>
    </row>
    <row r="12" customFormat="false" ht="15" hidden="false" customHeight="false" outlineLevel="0" collapsed="false">
      <c r="A12" s="13" t="s">
        <v>595</v>
      </c>
      <c r="B12" s="13" t="s">
        <v>594</v>
      </c>
      <c r="C12" s="13" t="s">
        <v>1439</v>
      </c>
      <c r="D12" s="13" t="s">
        <v>57</v>
      </c>
      <c r="E12" s="13" t="s">
        <v>615</v>
      </c>
      <c r="F12" s="13" t="s">
        <v>616</v>
      </c>
      <c r="G12" s="61" t="n">
        <v>-145000436678</v>
      </c>
      <c r="H12" s="13" t="s">
        <v>1435</v>
      </c>
      <c r="I12" s="13"/>
      <c r="J12" s="13" t="s">
        <v>1440</v>
      </c>
      <c r="K12" s="13" t="s">
        <v>1441</v>
      </c>
      <c r="L12" s="13" t="s">
        <v>1438</v>
      </c>
      <c r="M12" s="13"/>
    </row>
    <row r="13" customFormat="false" ht="15" hidden="false" customHeight="false" outlineLevel="0" collapsed="false">
      <c r="A13" s="13" t="s">
        <v>595</v>
      </c>
      <c r="B13" s="13" t="s">
        <v>594</v>
      </c>
      <c r="C13" s="13" t="s">
        <v>1442</v>
      </c>
      <c r="D13" s="13" t="s">
        <v>57</v>
      </c>
      <c r="E13" s="13" t="s">
        <v>615</v>
      </c>
      <c r="F13" s="13" t="s">
        <v>616</v>
      </c>
      <c r="G13" s="61" t="n">
        <v>-137738459043</v>
      </c>
      <c r="H13" s="13" t="s">
        <v>1435</v>
      </c>
      <c r="I13" s="13"/>
      <c r="J13" s="13" t="s">
        <v>1440</v>
      </c>
      <c r="K13" s="13" t="s">
        <v>606</v>
      </c>
      <c r="L13" s="13" t="s">
        <v>1443</v>
      </c>
      <c r="M13" s="13"/>
    </row>
    <row r="14" customFormat="false" ht="15" hidden="false" customHeight="false" outlineLevel="0" collapsed="false">
      <c r="A14" s="13" t="s">
        <v>595</v>
      </c>
      <c r="B14" s="13" t="s">
        <v>594</v>
      </c>
      <c r="C14" s="13" t="s">
        <v>1444</v>
      </c>
      <c r="D14" s="13" t="s">
        <v>57</v>
      </c>
      <c r="E14" s="13" t="s">
        <v>615</v>
      </c>
      <c r="F14" s="13" t="s">
        <v>616</v>
      </c>
      <c r="G14" s="61" t="n">
        <v>-153026530241</v>
      </c>
      <c r="H14" s="13" t="s">
        <v>1435</v>
      </c>
      <c r="I14" s="13"/>
      <c r="J14" s="13" t="s">
        <v>1445</v>
      </c>
      <c r="K14" s="13" t="s">
        <v>607</v>
      </c>
      <c r="L14" s="13" t="s">
        <v>1443</v>
      </c>
      <c r="M14" s="13"/>
    </row>
    <row r="15" customFormat="false" ht="15" hidden="false" customHeight="false" outlineLevel="0" collapsed="false">
      <c r="A15" s="13" t="s">
        <v>595</v>
      </c>
      <c r="B15" s="13" t="s">
        <v>594</v>
      </c>
      <c r="C15" s="13" t="s">
        <v>1446</v>
      </c>
      <c r="D15" s="13" t="s">
        <v>57</v>
      </c>
      <c r="E15" s="13" t="s">
        <v>615</v>
      </c>
      <c r="F15" s="13" t="s">
        <v>616</v>
      </c>
      <c r="G15" s="61" t="n">
        <v>-214434696643</v>
      </c>
      <c r="H15" s="13" t="s">
        <v>1435</v>
      </c>
      <c r="I15" s="13"/>
      <c r="J15" s="13" t="s">
        <v>1447</v>
      </c>
      <c r="K15" s="13" t="s">
        <v>608</v>
      </c>
      <c r="L15" s="13" t="s">
        <v>1443</v>
      </c>
      <c r="M15" s="13"/>
    </row>
    <row r="16" customFormat="false" ht="15" hidden="false" customHeight="false" outlineLevel="0" collapsed="false">
      <c r="A16" s="13" t="s">
        <v>595</v>
      </c>
      <c r="B16" s="13" t="s">
        <v>594</v>
      </c>
      <c r="C16" s="13" t="s">
        <v>1448</v>
      </c>
      <c r="D16" s="13" t="s">
        <v>57</v>
      </c>
      <c r="E16" s="13" t="s">
        <v>615</v>
      </c>
      <c r="F16" s="13" t="s">
        <v>616</v>
      </c>
      <c r="G16" s="61" t="n">
        <v>-224594016289</v>
      </c>
      <c r="H16" s="13" t="s">
        <v>1435</v>
      </c>
      <c r="I16" s="13"/>
      <c r="J16" s="13" t="s">
        <v>1449</v>
      </c>
      <c r="K16" s="13" t="s">
        <v>609</v>
      </c>
      <c r="L16" s="13" t="s">
        <v>1443</v>
      </c>
      <c r="M16" s="13"/>
    </row>
    <row r="17" customFormat="false" ht="15" hidden="false" customHeight="false" outlineLevel="0" collapsed="false">
      <c r="A17" s="13" t="s">
        <v>595</v>
      </c>
      <c r="B17" s="13" t="s">
        <v>594</v>
      </c>
      <c r="C17" s="13" t="s">
        <v>1434</v>
      </c>
      <c r="D17" s="13" t="s">
        <v>57</v>
      </c>
      <c r="E17" s="13" t="s">
        <v>618</v>
      </c>
      <c r="F17" s="13" t="s">
        <v>619</v>
      </c>
      <c r="G17" s="61" t="n">
        <v>102891453436</v>
      </c>
      <c r="H17" s="13" t="s">
        <v>1435</v>
      </c>
      <c r="I17" s="13"/>
      <c r="J17" s="13"/>
      <c r="K17" s="13" t="s">
        <v>1437</v>
      </c>
      <c r="L17" s="13" t="s">
        <v>1438</v>
      </c>
      <c r="M17" s="13" t="s">
        <v>1450</v>
      </c>
    </row>
    <row r="18" customFormat="false" ht="15" hidden="false" customHeight="false" outlineLevel="0" collapsed="false">
      <c r="A18" s="13" t="s">
        <v>595</v>
      </c>
      <c r="B18" s="13" t="s">
        <v>594</v>
      </c>
      <c r="C18" s="13" t="s">
        <v>1439</v>
      </c>
      <c r="D18" s="13" t="s">
        <v>57</v>
      </c>
      <c r="E18" s="13" t="s">
        <v>618</v>
      </c>
      <c r="F18" s="13" t="s">
        <v>619</v>
      </c>
      <c r="G18" s="61" t="n">
        <v>145933919448</v>
      </c>
      <c r="H18" s="13" t="s">
        <v>1435</v>
      </c>
      <c r="I18" s="13"/>
      <c r="J18" s="13"/>
      <c r="K18" s="13" t="s">
        <v>1441</v>
      </c>
      <c r="L18" s="13" t="s">
        <v>1438</v>
      </c>
      <c r="M18" s="13" t="s">
        <v>1450</v>
      </c>
    </row>
    <row r="19" customFormat="false" ht="15" hidden="false" customHeight="false" outlineLevel="0" collapsed="false">
      <c r="A19" s="13" t="s">
        <v>595</v>
      </c>
      <c r="B19" s="13" t="s">
        <v>594</v>
      </c>
      <c r="C19" s="13" t="s">
        <v>1442</v>
      </c>
      <c r="D19" s="13" t="s">
        <v>57</v>
      </c>
      <c r="E19" s="13" t="s">
        <v>618</v>
      </c>
      <c r="F19" s="13" t="s">
        <v>619</v>
      </c>
      <c r="G19" s="61" t="n">
        <v>96232265566</v>
      </c>
      <c r="H19" s="13" t="s">
        <v>1435</v>
      </c>
      <c r="I19" s="13"/>
      <c r="J19" s="13"/>
      <c r="K19" s="13" t="s">
        <v>606</v>
      </c>
      <c r="L19" s="13" t="s">
        <v>1443</v>
      </c>
      <c r="M19" s="13" t="s">
        <v>1450</v>
      </c>
    </row>
    <row r="20" customFormat="false" ht="15" hidden="false" customHeight="false" outlineLevel="0" collapsed="false">
      <c r="A20" s="13" t="s">
        <v>595</v>
      </c>
      <c r="B20" s="13" t="s">
        <v>594</v>
      </c>
      <c r="C20" s="13" t="s">
        <v>1444</v>
      </c>
      <c r="D20" s="13" t="s">
        <v>57</v>
      </c>
      <c r="E20" s="13" t="s">
        <v>618</v>
      </c>
      <c r="F20" s="13" t="s">
        <v>619</v>
      </c>
      <c r="G20" s="61" t="n">
        <v>89654268942</v>
      </c>
      <c r="H20" s="13" t="s">
        <v>1435</v>
      </c>
      <c r="I20" s="13"/>
      <c r="J20" s="13"/>
      <c r="K20" s="13" t="s">
        <v>607</v>
      </c>
      <c r="L20" s="13" t="s">
        <v>1443</v>
      </c>
      <c r="M20" s="13" t="s">
        <v>1450</v>
      </c>
    </row>
    <row r="21" customFormat="false" ht="15" hidden="false" customHeight="false" outlineLevel="0" collapsed="false">
      <c r="A21" s="13" t="s">
        <v>595</v>
      </c>
      <c r="B21" s="13" t="s">
        <v>594</v>
      </c>
      <c r="C21" s="13" t="s">
        <v>1446</v>
      </c>
      <c r="D21" s="13" t="s">
        <v>57</v>
      </c>
      <c r="E21" s="13" t="s">
        <v>618</v>
      </c>
      <c r="F21" s="13" t="s">
        <v>619</v>
      </c>
      <c r="G21" s="61" t="n">
        <v>104587714159</v>
      </c>
      <c r="H21" s="13" t="s">
        <v>1435</v>
      </c>
      <c r="I21" s="13"/>
      <c r="J21" s="13"/>
      <c r="K21" s="13" t="s">
        <v>608</v>
      </c>
      <c r="L21" s="13" t="s">
        <v>1443</v>
      </c>
      <c r="M21" s="13" t="s">
        <v>1450</v>
      </c>
    </row>
    <row r="22" customFormat="false" ht="15" hidden="false" customHeight="false" outlineLevel="0" collapsed="false">
      <c r="A22" s="13" t="s">
        <v>595</v>
      </c>
      <c r="B22" s="13" t="s">
        <v>594</v>
      </c>
      <c r="C22" s="13" t="s">
        <v>1448</v>
      </c>
      <c r="D22" s="13" t="s">
        <v>57</v>
      </c>
      <c r="E22" s="13" t="s">
        <v>618</v>
      </c>
      <c r="F22" s="13" t="s">
        <v>619</v>
      </c>
      <c r="G22" s="61" t="n">
        <v>215157588939</v>
      </c>
      <c r="H22" s="13" t="s">
        <v>1435</v>
      </c>
      <c r="I22" s="13"/>
      <c r="J22" s="13"/>
      <c r="K22" s="13" t="s">
        <v>609</v>
      </c>
      <c r="L22" s="13" t="s">
        <v>1443</v>
      </c>
      <c r="M22" s="13" t="s">
        <v>1450</v>
      </c>
    </row>
    <row r="23" customFormat="false" ht="15" hidden="false" customHeight="false" outlineLevel="0" collapsed="false">
      <c r="A23" s="13" t="s">
        <v>595</v>
      </c>
      <c r="B23" s="13" t="s">
        <v>594</v>
      </c>
      <c r="C23" s="13" t="s">
        <v>1434</v>
      </c>
      <c r="D23" s="13" t="s">
        <v>57</v>
      </c>
      <c r="E23" s="13" t="s">
        <v>620</v>
      </c>
      <c r="F23" s="13" t="s">
        <v>621</v>
      </c>
      <c r="G23" s="61" t="n">
        <v>-118408634509</v>
      </c>
      <c r="H23" s="13" t="s">
        <v>1435</v>
      </c>
      <c r="I23" s="13"/>
      <c r="J23" s="13" t="s">
        <v>1436</v>
      </c>
      <c r="K23" s="13" t="s">
        <v>1437</v>
      </c>
      <c r="L23" s="13" t="s">
        <v>1438</v>
      </c>
      <c r="M23" s="13"/>
    </row>
    <row r="24" customFormat="false" ht="15" hidden="false" customHeight="false" outlineLevel="0" collapsed="false">
      <c r="A24" s="13" t="s">
        <v>595</v>
      </c>
      <c r="B24" s="13" t="s">
        <v>594</v>
      </c>
      <c r="C24" s="13" t="s">
        <v>1439</v>
      </c>
      <c r="D24" s="13" t="s">
        <v>57</v>
      </c>
      <c r="E24" s="13" t="s">
        <v>620</v>
      </c>
      <c r="F24" s="13" t="s">
        <v>621</v>
      </c>
      <c r="G24" s="61" t="n">
        <v>-131835962281</v>
      </c>
      <c r="H24" s="13" t="s">
        <v>1435</v>
      </c>
      <c r="I24" s="13"/>
      <c r="J24" s="13" t="s">
        <v>1440</v>
      </c>
      <c r="K24" s="13" t="s">
        <v>1441</v>
      </c>
      <c r="L24" s="13" t="s">
        <v>1438</v>
      </c>
      <c r="M24" s="13"/>
    </row>
    <row r="25" customFormat="false" ht="15" hidden="false" customHeight="false" outlineLevel="0" collapsed="false">
      <c r="A25" s="13" t="s">
        <v>595</v>
      </c>
      <c r="B25" s="13" t="s">
        <v>594</v>
      </c>
      <c r="C25" s="13" t="s">
        <v>1442</v>
      </c>
      <c r="D25" s="13" t="s">
        <v>57</v>
      </c>
      <c r="E25" s="13" t="s">
        <v>620</v>
      </c>
      <c r="F25" s="13" t="s">
        <v>621</v>
      </c>
      <c r="G25" s="61" t="n">
        <v>-156823647433</v>
      </c>
      <c r="H25" s="13" t="s">
        <v>1435</v>
      </c>
      <c r="I25" s="13"/>
      <c r="J25" s="13" t="s">
        <v>1440</v>
      </c>
      <c r="K25" s="13" t="s">
        <v>606</v>
      </c>
      <c r="L25" s="13" t="s">
        <v>1443</v>
      </c>
      <c r="M25" s="13"/>
    </row>
    <row r="26" customFormat="false" ht="15" hidden="false" customHeight="false" outlineLevel="0" collapsed="false">
      <c r="A26" s="13" t="s">
        <v>595</v>
      </c>
      <c r="B26" s="13" t="s">
        <v>594</v>
      </c>
      <c r="C26" s="13" t="s">
        <v>1444</v>
      </c>
      <c r="D26" s="13" t="s">
        <v>57</v>
      </c>
      <c r="E26" s="13" t="s">
        <v>620</v>
      </c>
      <c r="F26" s="13" t="s">
        <v>621</v>
      </c>
      <c r="G26" s="61" t="n">
        <v>-125793052442</v>
      </c>
      <c r="H26" s="13" t="s">
        <v>1435</v>
      </c>
      <c r="I26" s="13"/>
      <c r="J26" s="13" t="s">
        <v>1445</v>
      </c>
      <c r="K26" s="13" t="s">
        <v>607</v>
      </c>
      <c r="L26" s="13" t="s">
        <v>1443</v>
      </c>
      <c r="M26" s="13"/>
    </row>
    <row r="27" customFormat="false" ht="15" hidden="false" customHeight="false" outlineLevel="0" collapsed="false">
      <c r="A27" s="13" t="s">
        <v>595</v>
      </c>
      <c r="B27" s="13" t="s">
        <v>594</v>
      </c>
      <c r="C27" s="13" t="s">
        <v>1446</v>
      </c>
      <c r="D27" s="13" t="s">
        <v>57</v>
      </c>
      <c r="E27" s="13" t="s">
        <v>620</v>
      </c>
      <c r="F27" s="13" t="s">
        <v>621</v>
      </c>
      <c r="G27" s="61" t="n">
        <v>-134515340769</v>
      </c>
      <c r="H27" s="13" t="s">
        <v>1435</v>
      </c>
      <c r="I27" s="13"/>
      <c r="J27" s="13" t="s">
        <v>1447</v>
      </c>
      <c r="K27" s="13" t="s">
        <v>608</v>
      </c>
      <c r="L27" s="13" t="s">
        <v>1443</v>
      </c>
      <c r="M27" s="13"/>
    </row>
    <row r="28" customFormat="false" ht="15" hidden="false" customHeight="false" outlineLevel="0" collapsed="false">
      <c r="A28" s="13" t="s">
        <v>595</v>
      </c>
      <c r="B28" s="13" t="s">
        <v>594</v>
      </c>
      <c r="C28" s="13" t="s">
        <v>1448</v>
      </c>
      <c r="D28" s="13" t="s">
        <v>57</v>
      </c>
      <c r="E28" s="13" t="s">
        <v>620</v>
      </c>
      <c r="F28" s="13" t="s">
        <v>621</v>
      </c>
      <c r="G28" s="61" t="n">
        <v>-145141717485</v>
      </c>
      <c r="H28" s="13" t="s">
        <v>1435</v>
      </c>
      <c r="I28" s="13"/>
      <c r="J28" s="13" t="s">
        <v>1449</v>
      </c>
      <c r="K28" s="13" t="s">
        <v>609</v>
      </c>
      <c r="L28" s="13" t="s">
        <v>1443</v>
      </c>
      <c r="M28" s="13"/>
    </row>
    <row r="29" customFormat="false" ht="15" hidden="false" customHeight="false" outlineLevel="0" collapsed="false">
      <c r="A29" s="13" t="s">
        <v>595</v>
      </c>
      <c r="B29" s="13" t="s">
        <v>594</v>
      </c>
      <c r="C29" s="13" t="s">
        <v>1434</v>
      </c>
      <c r="D29" s="13" t="s">
        <v>57</v>
      </c>
      <c r="E29" s="13" t="s">
        <v>623</v>
      </c>
      <c r="F29" s="13" t="s">
        <v>624</v>
      </c>
      <c r="G29" s="61" t="n">
        <v>-15517181073</v>
      </c>
      <c r="H29" s="13" t="s">
        <v>1435</v>
      </c>
      <c r="I29" s="13"/>
      <c r="J29" s="13"/>
      <c r="K29" s="13" t="s">
        <v>1437</v>
      </c>
      <c r="L29" s="13" t="s">
        <v>1438</v>
      </c>
      <c r="M29" s="13" t="s">
        <v>1450</v>
      </c>
    </row>
    <row r="30" customFormat="false" ht="15" hidden="false" customHeight="false" outlineLevel="0" collapsed="false">
      <c r="A30" s="13" t="s">
        <v>595</v>
      </c>
      <c r="B30" s="13" t="s">
        <v>594</v>
      </c>
      <c r="C30" s="13" t="s">
        <v>1439</v>
      </c>
      <c r="D30" s="13" t="s">
        <v>57</v>
      </c>
      <c r="E30" s="13" t="s">
        <v>623</v>
      </c>
      <c r="F30" s="13" t="s">
        <v>624</v>
      </c>
      <c r="G30" s="61" t="n">
        <v>14097957167</v>
      </c>
      <c r="H30" s="13" t="s">
        <v>1435</v>
      </c>
      <c r="I30" s="13"/>
      <c r="J30" s="13"/>
      <c r="K30" s="13" t="s">
        <v>1441</v>
      </c>
      <c r="L30" s="13" t="s">
        <v>1438</v>
      </c>
      <c r="M30" s="13" t="s">
        <v>1450</v>
      </c>
    </row>
    <row r="31" customFormat="false" ht="15" hidden="false" customHeight="false" outlineLevel="0" collapsed="false">
      <c r="A31" s="13" t="s">
        <v>595</v>
      </c>
      <c r="B31" s="13" t="s">
        <v>594</v>
      </c>
      <c r="C31" s="13" t="s">
        <v>1442</v>
      </c>
      <c r="D31" s="13" t="s">
        <v>57</v>
      </c>
      <c r="E31" s="13" t="s">
        <v>623</v>
      </c>
      <c r="F31" s="13" t="s">
        <v>624</v>
      </c>
      <c r="G31" s="61" t="n">
        <v>-60591381867</v>
      </c>
      <c r="H31" s="13" t="s">
        <v>1435</v>
      </c>
      <c r="I31" s="13"/>
      <c r="J31" s="13"/>
      <c r="K31" s="13" t="s">
        <v>606</v>
      </c>
      <c r="L31" s="13" t="s">
        <v>1443</v>
      </c>
      <c r="M31" s="13" t="s">
        <v>1450</v>
      </c>
    </row>
    <row r="32" customFormat="false" ht="15" hidden="false" customHeight="false" outlineLevel="0" collapsed="false">
      <c r="A32" s="13" t="s">
        <v>595</v>
      </c>
      <c r="B32" s="13" t="s">
        <v>594</v>
      </c>
      <c r="C32" s="13" t="s">
        <v>1444</v>
      </c>
      <c r="D32" s="13" t="s">
        <v>57</v>
      </c>
      <c r="E32" s="13" t="s">
        <v>623</v>
      </c>
      <c r="F32" s="13" t="s">
        <v>624</v>
      </c>
      <c r="G32" s="61" t="n">
        <v>-36138783500</v>
      </c>
      <c r="H32" s="13" t="s">
        <v>1435</v>
      </c>
      <c r="I32" s="13"/>
      <c r="J32" s="13"/>
      <c r="K32" s="13" t="s">
        <v>607</v>
      </c>
      <c r="L32" s="13" t="s">
        <v>1443</v>
      </c>
      <c r="M32" s="13" t="s">
        <v>1450</v>
      </c>
    </row>
    <row r="33" customFormat="false" ht="15" hidden="false" customHeight="false" outlineLevel="0" collapsed="false">
      <c r="A33" s="13" t="s">
        <v>595</v>
      </c>
      <c r="B33" s="13" t="s">
        <v>594</v>
      </c>
      <c r="C33" s="13" t="s">
        <v>1446</v>
      </c>
      <c r="D33" s="13" t="s">
        <v>57</v>
      </c>
      <c r="E33" s="13" t="s">
        <v>623</v>
      </c>
      <c r="F33" s="13" t="s">
        <v>624</v>
      </c>
      <c r="G33" s="61" t="n">
        <v>-29927626610</v>
      </c>
      <c r="H33" s="13" t="s">
        <v>1435</v>
      </c>
      <c r="I33" s="13"/>
      <c r="J33" s="13"/>
      <c r="K33" s="13" t="s">
        <v>608</v>
      </c>
      <c r="L33" s="13" t="s">
        <v>1443</v>
      </c>
      <c r="M33" s="13" t="s">
        <v>1450</v>
      </c>
    </row>
    <row r="34" customFormat="false" ht="15" hidden="false" customHeight="false" outlineLevel="0" collapsed="false">
      <c r="A34" s="13" t="s">
        <v>595</v>
      </c>
      <c r="B34" s="13" t="s">
        <v>594</v>
      </c>
      <c r="C34" s="13" t="s">
        <v>1448</v>
      </c>
      <c r="D34" s="13" t="s">
        <v>57</v>
      </c>
      <c r="E34" s="13" t="s">
        <v>623</v>
      </c>
      <c r="F34" s="13" t="s">
        <v>624</v>
      </c>
      <c r="G34" s="61" t="n">
        <v>70015871454</v>
      </c>
      <c r="H34" s="13" t="s">
        <v>1435</v>
      </c>
      <c r="I34" s="13"/>
      <c r="J34" s="13"/>
      <c r="K34" s="13" t="s">
        <v>609</v>
      </c>
      <c r="L34" s="13" t="s">
        <v>1443</v>
      </c>
      <c r="M34" s="13" t="s">
        <v>1450</v>
      </c>
    </row>
    <row r="35" customFormat="false" ht="15" hidden="false" customHeight="false" outlineLevel="0" collapsed="false">
      <c r="A35" s="13" t="s">
        <v>595</v>
      </c>
      <c r="B35" s="13" t="s">
        <v>594</v>
      </c>
      <c r="C35" s="13" t="s">
        <v>1434</v>
      </c>
      <c r="D35" s="13" t="s">
        <v>57</v>
      </c>
      <c r="E35" s="13" t="s">
        <v>625</v>
      </c>
      <c r="F35" s="13" t="s">
        <v>626</v>
      </c>
      <c r="G35" s="61" t="n">
        <v>532768164</v>
      </c>
      <c r="H35" s="13" t="s">
        <v>1435</v>
      </c>
      <c r="I35" s="13"/>
      <c r="J35" s="13" t="s">
        <v>1436</v>
      </c>
      <c r="K35" s="13" t="s">
        <v>1437</v>
      </c>
      <c r="L35" s="13" t="s">
        <v>1438</v>
      </c>
      <c r="M35" s="13"/>
    </row>
    <row r="36" customFormat="false" ht="15" hidden="false" customHeight="false" outlineLevel="0" collapsed="false">
      <c r="A36" s="13" t="s">
        <v>595</v>
      </c>
      <c r="B36" s="13" t="s">
        <v>594</v>
      </c>
      <c r="C36" s="13" t="s">
        <v>1439</v>
      </c>
      <c r="D36" s="13" t="s">
        <v>57</v>
      </c>
      <c r="E36" s="13" t="s">
        <v>625</v>
      </c>
      <c r="F36" s="13" t="s">
        <v>626</v>
      </c>
      <c r="G36" s="61" t="n">
        <v>2465367652</v>
      </c>
      <c r="H36" s="13" t="s">
        <v>1435</v>
      </c>
      <c r="I36" s="13"/>
      <c r="J36" s="13" t="s">
        <v>1440</v>
      </c>
      <c r="K36" s="13" t="s">
        <v>1441</v>
      </c>
      <c r="L36" s="13" t="s">
        <v>1438</v>
      </c>
      <c r="M36" s="13"/>
    </row>
    <row r="37" customFormat="false" ht="15" hidden="false" customHeight="false" outlineLevel="0" collapsed="false">
      <c r="A37" s="13" t="s">
        <v>595</v>
      </c>
      <c r="B37" s="13" t="s">
        <v>594</v>
      </c>
      <c r="C37" s="13" t="s">
        <v>1442</v>
      </c>
      <c r="D37" s="13" t="s">
        <v>57</v>
      </c>
      <c r="E37" s="13" t="s">
        <v>625</v>
      </c>
      <c r="F37" s="13" t="s">
        <v>626</v>
      </c>
      <c r="G37" s="61" t="n">
        <v>25636825732</v>
      </c>
      <c r="H37" s="13" t="s">
        <v>1435</v>
      </c>
      <c r="I37" s="13"/>
      <c r="J37" s="13" t="s">
        <v>1440</v>
      </c>
      <c r="K37" s="13" t="s">
        <v>606</v>
      </c>
      <c r="L37" s="13" t="s">
        <v>1443</v>
      </c>
      <c r="M37" s="13"/>
    </row>
    <row r="38" customFormat="false" ht="15" hidden="false" customHeight="false" outlineLevel="0" collapsed="false">
      <c r="A38" s="13" t="s">
        <v>595</v>
      </c>
      <c r="B38" s="13" t="s">
        <v>594</v>
      </c>
      <c r="C38" s="13" t="s">
        <v>1444</v>
      </c>
      <c r="D38" s="13" t="s">
        <v>57</v>
      </c>
      <c r="E38" s="13" t="s">
        <v>625</v>
      </c>
      <c r="F38" s="13" t="s">
        <v>626</v>
      </c>
      <c r="G38" s="61" t="n">
        <v>250325287</v>
      </c>
      <c r="H38" s="13" t="s">
        <v>1435</v>
      </c>
      <c r="I38" s="13"/>
      <c r="J38" s="13" t="s">
        <v>1445</v>
      </c>
      <c r="K38" s="13" t="s">
        <v>607</v>
      </c>
      <c r="L38" s="13" t="s">
        <v>1443</v>
      </c>
      <c r="M38" s="13"/>
    </row>
    <row r="39" customFormat="false" ht="15" hidden="false" customHeight="false" outlineLevel="0" collapsed="false">
      <c r="A39" s="13" t="s">
        <v>595</v>
      </c>
      <c r="B39" s="13" t="s">
        <v>594</v>
      </c>
      <c r="C39" s="13" t="s">
        <v>1446</v>
      </c>
      <c r="D39" s="13" t="s">
        <v>57</v>
      </c>
      <c r="E39" s="13" t="s">
        <v>625</v>
      </c>
      <c r="F39" s="13" t="s">
        <v>626</v>
      </c>
      <c r="G39" s="61" t="n">
        <v>25235874672</v>
      </c>
      <c r="H39" s="13" t="s">
        <v>1435</v>
      </c>
      <c r="I39" s="13"/>
      <c r="J39" s="13" t="s">
        <v>1447</v>
      </c>
      <c r="K39" s="13" t="s">
        <v>608</v>
      </c>
      <c r="L39" s="13" t="s">
        <v>1443</v>
      </c>
      <c r="M39" s="13"/>
    </row>
    <row r="40" customFormat="false" ht="15" hidden="false" customHeight="false" outlineLevel="0" collapsed="false">
      <c r="A40" s="13" t="s">
        <v>595</v>
      </c>
      <c r="B40" s="13" t="s">
        <v>594</v>
      </c>
      <c r="C40" s="13" t="s">
        <v>1448</v>
      </c>
      <c r="D40" s="13" t="s">
        <v>57</v>
      </c>
      <c r="E40" s="13" t="s">
        <v>625</v>
      </c>
      <c r="F40" s="13" t="s">
        <v>626</v>
      </c>
      <c r="G40" s="61" t="n">
        <v>2857036197</v>
      </c>
      <c r="H40" s="13" t="s">
        <v>1435</v>
      </c>
      <c r="I40" s="13"/>
      <c r="J40" s="13" t="s">
        <v>1449</v>
      </c>
      <c r="K40" s="13" t="s">
        <v>609</v>
      </c>
      <c r="L40" s="13" t="s">
        <v>1443</v>
      </c>
      <c r="M40" s="13"/>
    </row>
    <row r="41" customFormat="false" ht="15" hidden="false" customHeight="false" outlineLevel="0" collapsed="false">
      <c r="A41" s="13" t="s">
        <v>595</v>
      </c>
      <c r="B41" s="13" t="s">
        <v>594</v>
      </c>
      <c r="C41" s="13" t="s">
        <v>1434</v>
      </c>
      <c r="D41" s="13" t="s">
        <v>57</v>
      </c>
      <c r="E41" s="13" t="s">
        <v>628</v>
      </c>
      <c r="F41" s="13" t="s">
        <v>629</v>
      </c>
      <c r="G41" s="61" t="n">
        <v>532768164</v>
      </c>
      <c r="H41" s="13" t="s">
        <v>1435</v>
      </c>
      <c r="I41" s="13"/>
      <c r="J41" s="13"/>
      <c r="K41" s="13" t="s">
        <v>1437</v>
      </c>
      <c r="L41" s="13" t="s">
        <v>1438</v>
      </c>
      <c r="M41" s="13" t="s">
        <v>1450</v>
      </c>
    </row>
    <row r="42" customFormat="false" ht="15" hidden="false" customHeight="false" outlineLevel="0" collapsed="false">
      <c r="A42" s="13" t="s">
        <v>595</v>
      </c>
      <c r="B42" s="13" t="s">
        <v>594</v>
      </c>
      <c r="C42" s="13" t="s">
        <v>1439</v>
      </c>
      <c r="D42" s="13" t="s">
        <v>57</v>
      </c>
      <c r="E42" s="13" t="s">
        <v>628</v>
      </c>
      <c r="F42" s="13" t="s">
        <v>629</v>
      </c>
      <c r="G42" s="61" t="n">
        <v>2465367652</v>
      </c>
      <c r="H42" s="13" t="s">
        <v>1435</v>
      </c>
      <c r="I42" s="13"/>
      <c r="J42" s="13"/>
      <c r="K42" s="13" t="s">
        <v>1441</v>
      </c>
      <c r="L42" s="13" t="s">
        <v>1438</v>
      </c>
      <c r="M42" s="13" t="s">
        <v>1450</v>
      </c>
    </row>
    <row r="43" customFormat="false" ht="15" hidden="false" customHeight="false" outlineLevel="0" collapsed="false">
      <c r="A43" s="13" t="s">
        <v>595</v>
      </c>
      <c r="B43" s="13" t="s">
        <v>594</v>
      </c>
      <c r="C43" s="13" t="s">
        <v>1442</v>
      </c>
      <c r="D43" s="13" t="s">
        <v>57</v>
      </c>
      <c r="E43" s="13" t="s">
        <v>628</v>
      </c>
      <c r="F43" s="13" t="s">
        <v>629</v>
      </c>
      <c r="G43" s="61" t="n">
        <v>25636825732</v>
      </c>
      <c r="H43" s="13" t="s">
        <v>1435</v>
      </c>
      <c r="I43" s="13"/>
      <c r="J43" s="13"/>
      <c r="K43" s="13" t="s">
        <v>606</v>
      </c>
      <c r="L43" s="13" t="s">
        <v>1443</v>
      </c>
      <c r="M43" s="13" t="s">
        <v>1450</v>
      </c>
    </row>
    <row r="44" customFormat="false" ht="15" hidden="false" customHeight="false" outlineLevel="0" collapsed="false">
      <c r="A44" s="13" t="s">
        <v>595</v>
      </c>
      <c r="B44" s="13" t="s">
        <v>594</v>
      </c>
      <c r="C44" s="13" t="s">
        <v>1444</v>
      </c>
      <c r="D44" s="13" t="s">
        <v>57</v>
      </c>
      <c r="E44" s="13" t="s">
        <v>628</v>
      </c>
      <c r="F44" s="13" t="s">
        <v>629</v>
      </c>
      <c r="G44" s="61" t="n">
        <v>250325287</v>
      </c>
      <c r="H44" s="13" t="s">
        <v>1435</v>
      </c>
      <c r="I44" s="13"/>
      <c r="J44" s="13"/>
      <c r="K44" s="13" t="s">
        <v>607</v>
      </c>
      <c r="L44" s="13" t="s">
        <v>1443</v>
      </c>
      <c r="M44" s="13" t="s">
        <v>1450</v>
      </c>
    </row>
    <row r="45" customFormat="false" ht="15" hidden="false" customHeight="false" outlineLevel="0" collapsed="false">
      <c r="A45" s="13" t="s">
        <v>595</v>
      </c>
      <c r="B45" s="13" t="s">
        <v>594</v>
      </c>
      <c r="C45" s="13" t="s">
        <v>1446</v>
      </c>
      <c r="D45" s="13" t="s">
        <v>57</v>
      </c>
      <c r="E45" s="13" t="s">
        <v>628</v>
      </c>
      <c r="F45" s="13" t="s">
        <v>629</v>
      </c>
      <c r="G45" s="61" t="n">
        <v>25235874672</v>
      </c>
      <c r="H45" s="13" t="s">
        <v>1435</v>
      </c>
      <c r="I45" s="13"/>
      <c r="J45" s="13"/>
      <c r="K45" s="13" t="s">
        <v>608</v>
      </c>
      <c r="L45" s="13" t="s">
        <v>1443</v>
      </c>
      <c r="M45" s="13" t="s">
        <v>1450</v>
      </c>
    </row>
    <row r="46" customFormat="false" ht="15" hidden="false" customHeight="false" outlineLevel="0" collapsed="false">
      <c r="A46" s="13" t="s">
        <v>595</v>
      </c>
      <c r="B46" s="13" t="s">
        <v>594</v>
      </c>
      <c r="C46" s="13" t="s">
        <v>1448</v>
      </c>
      <c r="D46" s="13" t="s">
        <v>57</v>
      </c>
      <c r="E46" s="13" t="s">
        <v>628</v>
      </c>
      <c r="F46" s="13" t="s">
        <v>629</v>
      </c>
      <c r="G46" s="61" t="n">
        <v>2857036197</v>
      </c>
      <c r="H46" s="13" t="s">
        <v>1435</v>
      </c>
      <c r="I46" s="13"/>
      <c r="J46" s="13"/>
      <c r="K46" s="13" t="s">
        <v>609</v>
      </c>
      <c r="L46" s="13" t="s">
        <v>1443</v>
      </c>
      <c r="M46" s="13" t="s">
        <v>1450</v>
      </c>
    </row>
    <row r="47" customFormat="false" ht="15" hidden="false" customHeight="false" outlineLevel="0" collapsed="false">
      <c r="A47" s="13" t="s">
        <v>595</v>
      </c>
      <c r="B47" s="13" t="s">
        <v>594</v>
      </c>
      <c r="C47" s="13" t="s">
        <v>1434</v>
      </c>
      <c r="D47" s="13" t="s">
        <v>57</v>
      </c>
      <c r="E47" s="13" t="s">
        <v>630</v>
      </c>
      <c r="F47" s="13" t="s">
        <v>631</v>
      </c>
      <c r="G47" s="61" t="n">
        <v>40428301431</v>
      </c>
      <c r="H47" s="13" t="s">
        <v>1435</v>
      </c>
      <c r="I47" s="13"/>
      <c r="J47" s="13" t="s">
        <v>1436</v>
      </c>
      <c r="K47" s="13" t="s">
        <v>1437</v>
      </c>
      <c r="L47" s="13" t="s">
        <v>1438</v>
      </c>
      <c r="M47" s="13"/>
    </row>
    <row r="48" customFormat="false" ht="15" hidden="false" customHeight="false" outlineLevel="0" collapsed="false">
      <c r="A48" s="13" t="s">
        <v>595</v>
      </c>
      <c r="B48" s="13" t="s">
        <v>594</v>
      </c>
      <c r="C48" s="13" t="s">
        <v>1439</v>
      </c>
      <c r="D48" s="13" t="s">
        <v>57</v>
      </c>
      <c r="E48" s="13" t="s">
        <v>630</v>
      </c>
      <c r="F48" s="13" t="s">
        <v>631</v>
      </c>
      <c r="G48" s="61" t="n">
        <v>15781938577</v>
      </c>
      <c r="H48" s="13" t="s">
        <v>1435</v>
      </c>
      <c r="I48" s="13"/>
      <c r="J48" s="13" t="s">
        <v>1440</v>
      </c>
      <c r="K48" s="13" t="s">
        <v>1441</v>
      </c>
      <c r="L48" s="13" t="s">
        <v>1438</v>
      </c>
      <c r="M48" s="13"/>
    </row>
    <row r="49" customFormat="false" ht="15" hidden="false" customHeight="false" outlineLevel="0" collapsed="false">
      <c r="A49" s="13" t="s">
        <v>595</v>
      </c>
      <c r="B49" s="13" t="s">
        <v>594</v>
      </c>
      <c r="C49" s="13" t="s">
        <v>1442</v>
      </c>
      <c r="D49" s="13" t="s">
        <v>57</v>
      </c>
      <c r="E49" s="13" t="s">
        <v>630</v>
      </c>
      <c r="F49" s="13" t="s">
        <v>631</v>
      </c>
      <c r="G49" s="61" t="n">
        <v>31784929332</v>
      </c>
      <c r="H49" s="13" t="s">
        <v>1435</v>
      </c>
      <c r="I49" s="13"/>
      <c r="J49" s="13" t="s">
        <v>1440</v>
      </c>
      <c r="K49" s="13" t="s">
        <v>606</v>
      </c>
      <c r="L49" s="13" t="s">
        <v>1443</v>
      </c>
      <c r="M49" s="13"/>
    </row>
    <row r="50" customFormat="false" ht="15" hidden="false" customHeight="false" outlineLevel="0" collapsed="false">
      <c r="A50" s="13" t="s">
        <v>595</v>
      </c>
      <c r="B50" s="13" t="s">
        <v>594</v>
      </c>
      <c r="C50" s="13" t="s">
        <v>1444</v>
      </c>
      <c r="D50" s="13" t="s">
        <v>57</v>
      </c>
      <c r="E50" s="13" t="s">
        <v>630</v>
      </c>
      <c r="F50" s="13" t="s">
        <v>631</v>
      </c>
      <c r="G50" s="61" t="n">
        <v>6623274915</v>
      </c>
      <c r="H50" s="13" t="s">
        <v>1435</v>
      </c>
      <c r="I50" s="13"/>
      <c r="J50" s="13" t="s">
        <v>1445</v>
      </c>
      <c r="K50" s="13" t="s">
        <v>607</v>
      </c>
      <c r="L50" s="13" t="s">
        <v>1443</v>
      </c>
      <c r="M50" s="13"/>
    </row>
    <row r="51" customFormat="false" ht="15" hidden="false" customHeight="false" outlineLevel="0" collapsed="false">
      <c r="A51" s="13" t="s">
        <v>595</v>
      </c>
      <c r="B51" s="13" t="s">
        <v>594</v>
      </c>
      <c r="C51" s="13" t="s">
        <v>1446</v>
      </c>
      <c r="D51" s="13" t="s">
        <v>57</v>
      </c>
      <c r="E51" s="13" t="s">
        <v>630</v>
      </c>
      <c r="F51" s="13" t="s">
        <v>631</v>
      </c>
      <c r="G51" s="61" t="n">
        <v>6242710845</v>
      </c>
      <c r="H51" s="13" t="s">
        <v>1435</v>
      </c>
      <c r="I51" s="13"/>
      <c r="J51" s="13" t="s">
        <v>1447</v>
      </c>
      <c r="K51" s="13" t="s">
        <v>608</v>
      </c>
      <c r="L51" s="13" t="s">
        <v>1443</v>
      </c>
      <c r="M51" s="13"/>
    </row>
    <row r="52" customFormat="false" ht="15" hidden="false" customHeight="false" outlineLevel="0" collapsed="false">
      <c r="A52" s="13" t="s">
        <v>595</v>
      </c>
      <c r="B52" s="13" t="s">
        <v>594</v>
      </c>
      <c r="C52" s="13" t="s">
        <v>1448</v>
      </c>
      <c r="D52" s="13" t="s">
        <v>57</v>
      </c>
      <c r="E52" s="13" t="s">
        <v>630</v>
      </c>
      <c r="F52" s="13" t="s">
        <v>631</v>
      </c>
      <c r="G52" s="61" t="n">
        <v>15555391585</v>
      </c>
      <c r="H52" s="13" t="s">
        <v>1435</v>
      </c>
      <c r="I52" s="13"/>
      <c r="J52" s="13" t="s">
        <v>1449</v>
      </c>
      <c r="K52" s="13" t="s">
        <v>609</v>
      </c>
      <c r="L52" s="13" t="s">
        <v>1443</v>
      </c>
      <c r="M52" s="13"/>
    </row>
    <row r="53" customFormat="false" ht="15" hidden="false" customHeight="false" outlineLevel="0" collapsed="false">
      <c r="A53" s="13" t="s">
        <v>595</v>
      </c>
      <c r="B53" s="13" t="s">
        <v>594</v>
      </c>
      <c r="C53" s="13" t="s">
        <v>1434</v>
      </c>
      <c r="D53" s="13" t="s">
        <v>57</v>
      </c>
      <c r="E53" s="13" t="s">
        <v>633</v>
      </c>
      <c r="F53" s="13" t="s">
        <v>634</v>
      </c>
      <c r="G53" s="61" t="n">
        <v>-11651080910</v>
      </c>
      <c r="H53" s="13" t="s">
        <v>1435</v>
      </c>
      <c r="I53" s="13"/>
      <c r="J53" s="13" t="s">
        <v>1436</v>
      </c>
      <c r="K53" s="13" t="s">
        <v>1437</v>
      </c>
      <c r="L53" s="13" t="s">
        <v>1438</v>
      </c>
      <c r="M53" s="13"/>
    </row>
    <row r="54" customFormat="false" ht="15" hidden="false" customHeight="false" outlineLevel="0" collapsed="false">
      <c r="A54" s="13" t="s">
        <v>595</v>
      </c>
      <c r="B54" s="13" t="s">
        <v>594</v>
      </c>
      <c r="C54" s="13" t="s">
        <v>1439</v>
      </c>
      <c r="D54" s="13" t="s">
        <v>57</v>
      </c>
      <c r="E54" s="13" t="s">
        <v>633</v>
      </c>
      <c r="F54" s="13" t="s">
        <v>634</v>
      </c>
      <c r="G54" s="61" t="n">
        <v>-25838724542</v>
      </c>
      <c r="H54" s="13" t="s">
        <v>1435</v>
      </c>
      <c r="I54" s="13"/>
      <c r="J54" s="13" t="s">
        <v>1440</v>
      </c>
      <c r="K54" s="13" t="s">
        <v>1441</v>
      </c>
      <c r="L54" s="13" t="s">
        <v>1438</v>
      </c>
      <c r="M54" s="13"/>
    </row>
    <row r="55" customFormat="false" ht="15" hidden="false" customHeight="false" outlineLevel="0" collapsed="false">
      <c r="A55" s="13" t="s">
        <v>595</v>
      </c>
      <c r="B55" s="13" t="s">
        <v>594</v>
      </c>
      <c r="C55" s="13" t="s">
        <v>1442</v>
      </c>
      <c r="D55" s="13" t="s">
        <v>57</v>
      </c>
      <c r="E55" s="13" t="s">
        <v>633</v>
      </c>
      <c r="F55" s="13" t="s">
        <v>634</v>
      </c>
      <c r="G55" s="61" t="n">
        <v>-90146332117</v>
      </c>
      <c r="H55" s="13" t="s">
        <v>1435</v>
      </c>
      <c r="I55" s="13"/>
      <c r="J55" s="13" t="s">
        <v>1440</v>
      </c>
      <c r="K55" s="13" t="s">
        <v>606</v>
      </c>
      <c r="L55" s="13" t="s">
        <v>1443</v>
      </c>
      <c r="M55" s="13"/>
    </row>
    <row r="56" customFormat="false" ht="15" hidden="false" customHeight="false" outlineLevel="0" collapsed="false">
      <c r="A56" s="13" t="s">
        <v>595</v>
      </c>
      <c r="B56" s="13" t="s">
        <v>594</v>
      </c>
      <c r="C56" s="13" t="s">
        <v>1444</v>
      </c>
      <c r="D56" s="13" t="s">
        <v>57</v>
      </c>
      <c r="E56" s="13" t="s">
        <v>633</v>
      </c>
      <c r="F56" s="13" t="s">
        <v>634</v>
      </c>
      <c r="G56" s="61" t="n">
        <v>-76857656488</v>
      </c>
      <c r="H56" s="13" t="s">
        <v>1435</v>
      </c>
      <c r="I56" s="13"/>
      <c r="J56" s="13" t="s">
        <v>1445</v>
      </c>
      <c r="K56" s="13" t="s">
        <v>607</v>
      </c>
      <c r="L56" s="13" t="s">
        <v>1443</v>
      </c>
      <c r="M56" s="13"/>
    </row>
    <row r="57" customFormat="false" ht="15" hidden="false" customHeight="false" outlineLevel="0" collapsed="false">
      <c r="A57" s="13" t="s">
        <v>595</v>
      </c>
      <c r="B57" s="13" t="s">
        <v>594</v>
      </c>
      <c r="C57" s="13" t="s">
        <v>1446</v>
      </c>
      <c r="D57" s="13" t="s">
        <v>57</v>
      </c>
      <c r="E57" s="13" t="s">
        <v>633</v>
      </c>
      <c r="F57" s="13" t="s">
        <v>634</v>
      </c>
      <c r="G57" s="61" t="n">
        <v>-77315017008</v>
      </c>
      <c r="H57" s="13" t="s">
        <v>1435</v>
      </c>
      <c r="I57" s="13"/>
      <c r="J57" s="13" t="s">
        <v>1447</v>
      </c>
      <c r="K57" s="13" t="s">
        <v>608</v>
      </c>
      <c r="L57" s="13" t="s">
        <v>1443</v>
      </c>
      <c r="M57" s="13"/>
    </row>
    <row r="58" customFormat="false" ht="15" hidden="false" customHeight="false" outlineLevel="0" collapsed="false">
      <c r="A58" s="13" t="s">
        <v>595</v>
      </c>
      <c r="B58" s="13" t="s">
        <v>594</v>
      </c>
      <c r="C58" s="13" t="s">
        <v>1448</v>
      </c>
      <c r="D58" s="13" t="s">
        <v>57</v>
      </c>
      <c r="E58" s="13" t="s">
        <v>633</v>
      </c>
      <c r="F58" s="13" t="s">
        <v>634</v>
      </c>
      <c r="G58" s="61" t="n">
        <v>-80356964083</v>
      </c>
      <c r="H58" s="13" t="s">
        <v>1435</v>
      </c>
      <c r="I58" s="13"/>
      <c r="J58" s="13" t="s">
        <v>1449</v>
      </c>
      <c r="K58" s="13" t="s">
        <v>609</v>
      </c>
      <c r="L58" s="13" t="s">
        <v>1443</v>
      </c>
      <c r="M58" s="13"/>
    </row>
    <row r="59" customFormat="false" ht="15" hidden="false" customHeight="false" outlineLevel="0" collapsed="false">
      <c r="A59" s="13" t="s">
        <v>595</v>
      </c>
      <c r="B59" s="13" t="s">
        <v>594</v>
      </c>
      <c r="C59" s="13" t="s">
        <v>1434</v>
      </c>
      <c r="D59" s="13" t="s">
        <v>57</v>
      </c>
      <c r="E59" s="13" t="s">
        <v>636</v>
      </c>
      <c r="F59" s="13" t="s">
        <v>637</v>
      </c>
      <c r="G59" s="61" t="n">
        <v>13792807612</v>
      </c>
      <c r="H59" s="13" t="s">
        <v>1435</v>
      </c>
      <c r="I59" s="13"/>
      <c r="J59" s="13"/>
      <c r="K59" s="13" t="s">
        <v>1437</v>
      </c>
      <c r="L59" s="13" t="s">
        <v>1438</v>
      </c>
      <c r="M59" s="13" t="s">
        <v>1450</v>
      </c>
    </row>
    <row r="60" customFormat="false" ht="15" hidden="false" customHeight="false" outlineLevel="0" collapsed="false">
      <c r="A60" s="13" t="s">
        <v>595</v>
      </c>
      <c r="B60" s="13" t="s">
        <v>594</v>
      </c>
      <c r="C60" s="13" t="s">
        <v>1439</v>
      </c>
      <c r="D60" s="13" t="s">
        <v>57</v>
      </c>
      <c r="E60" s="13" t="s">
        <v>636</v>
      </c>
      <c r="F60" s="13" t="s">
        <v>637</v>
      </c>
      <c r="G60" s="61" t="n">
        <v>6506538854</v>
      </c>
      <c r="H60" s="13" t="s">
        <v>1435</v>
      </c>
      <c r="I60" s="13"/>
      <c r="J60" s="13"/>
      <c r="K60" s="13" t="s">
        <v>1441</v>
      </c>
      <c r="L60" s="13" t="s">
        <v>1438</v>
      </c>
      <c r="M60" s="13" t="s">
        <v>1450</v>
      </c>
    </row>
    <row r="61" customFormat="false" ht="15" hidden="false" customHeight="false" outlineLevel="0" collapsed="false">
      <c r="A61" s="13" t="s">
        <v>595</v>
      </c>
      <c r="B61" s="13" t="s">
        <v>594</v>
      </c>
      <c r="C61" s="13" t="s">
        <v>1442</v>
      </c>
      <c r="D61" s="13" t="s">
        <v>57</v>
      </c>
      <c r="E61" s="13" t="s">
        <v>636</v>
      </c>
      <c r="F61" s="13" t="s">
        <v>637</v>
      </c>
      <c r="G61" s="61" t="n">
        <v>-93315958920</v>
      </c>
      <c r="H61" s="13" t="s">
        <v>1435</v>
      </c>
      <c r="I61" s="13"/>
      <c r="J61" s="13"/>
      <c r="K61" s="13" t="s">
        <v>606</v>
      </c>
      <c r="L61" s="13" t="s">
        <v>1443</v>
      </c>
      <c r="M61" s="13" t="s">
        <v>1450</v>
      </c>
    </row>
    <row r="62" customFormat="false" ht="15" hidden="false" customHeight="false" outlineLevel="0" collapsed="false">
      <c r="A62" s="13" t="s">
        <v>595</v>
      </c>
      <c r="B62" s="13" t="s">
        <v>594</v>
      </c>
      <c r="C62" s="13" t="s">
        <v>1444</v>
      </c>
      <c r="D62" s="13" t="s">
        <v>57</v>
      </c>
      <c r="E62" s="13" t="s">
        <v>636</v>
      </c>
      <c r="F62" s="13" t="s">
        <v>637</v>
      </c>
      <c r="G62" s="61" t="n">
        <v>-106122839786</v>
      </c>
      <c r="H62" s="13" t="s">
        <v>1435</v>
      </c>
      <c r="I62" s="13"/>
      <c r="J62" s="13"/>
      <c r="K62" s="13" t="s">
        <v>607</v>
      </c>
      <c r="L62" s="13" t="s">
        <v>1443</v>
      </c>
      <c r="M62" s="13" t="s">
        <v>1450</v>
      </c>
    </row>
    <row r="63" customFormat="false" ht="15" hidden="false" customHeight="false" outlineLevel="0" collapsed="false">
      <c r="A63" s="13" t="s">
        <v>595</v>
      </c>
      <c r="B63" s="13" t="s">
        <v>594</v>
      </c>
      <c r="C63" s="13" t="s">
        <v>1446</v>
      </c>
      <c r="D63" s="13" t="s">
        <v>57</v>
      </c>
      <c r="E63" s="13" t="s">
        <v>636</v>
      </c>
      <c r="F63" s="13" t="s">
        <v>637</v>
      </c>
      <c r="G63" s="61" t="n">
        <v>-75764058101</v>
      </c>
      <c r="H63" s="13" t="s">
        <v>1435</v>
      </c>
      <c r="I63" s="13"/>
      <c r="J63" s="13"/>
      <c r="K63" s="13" t="s">
        <v>608</v>
      </c>
      <c r="L63" s="13" t="s">
        <v>1443</v>
      </c>
      <c r="M63" s="13" t="s">
        <v>1450</v>
      </c>
    </row>
    <row r="64" customFormat="false" ht="15" hidden="false" customHeight="false" outlineLevel="0" collapsed="false">
      <c r="A64" s="13" t="s">
        <v>595</v>
      </c>
      <c r="B64" s="13" t="s">
        <v>594</v>
      </c>
      <c r="C64" s="13" t="s">
        <v>1448</v>
      </c>
      <c r="D64" s="13" t="s">
        <v>57</v>
      </c>
      <c r="E64" s="13" t="s">
        <v>636</v>
      </c>
      <c r="F64" s="13" t="s">
        <v>637</v>
      </c>
      <c r="G64" s="61" t="n">
        <v>8071335153</v>
      </c>
      <c r="H64" s="13" t="s">
        <v>1435</v>
      </c>
      <c r="I64" s="13"/>
      <c r="J64" s="13"/>
      <c r="K64" s="13" t="s">
        <v>609</v>
      </c>
      <c r="L64" s="13" t="s">
        <v>1443</v>
      </c>
      <c r="M64" s="13" t="s">
        <v>1450</v>
      </c>
    </row>
    <row r="65" customFormat="false" ht="15" hidden="false" customHeight="false" outlineLevel="0" collapsed="false">
      <c r="A65" s="13" t="s">
        <v>595</v>
      </c>
      <c r="B65" s="13" t="s">
        <v>594</v>
      </c>
      <c r="C65" s="13" t="s">
        <v>1434</v>
      </c>
      <c r="D65" s="13" t="s">
        <v>57</v>
      </c>
      <c r="E65" s="13" t="s">
        <v>638</v>
      </c>
      <c r="F65" s="13" t="s">
        <v>639</v>
      </c>
      <c r="G65" s="61" t="n">
        <v>375143524</v>
      </c>
      <c r="H65" s="13" t="s">
        <v>1435</v>
      </c>
      <c r="I65" s="13"/>
      <c r="J65" s="13" t="s">
        <v>1436</v>
      </c>
      <c r="K65" s="13" t="s">
        <v>1437</v>
      </c>
      <c r="L65" s="13" t="s">
        <v>1438</v>
      </c>
      <c r="M65" s="13"/>
    </row>
    <row r="66" customFormat="false" ht="15" hidden="false" customHeight="false" outlineLevel="0" collapsed="false">
      <c r="A66" s="13" t="s">
        <v>595</v>
      </c>
      <c r="B66" s="13" t="s">
        <v>594</v>
      </c>
      <c r="C66" s="13" t="s">
        <v>1439</v>
      </c>
      <c r="D66" s="13" t="s">
        <v>57</v>
      </c>
      <c r="E66" s="13" t="s">
        <v>638</v>
      </c>
      <c r="F66" s="13" t="s">
        <v>639</v>
      </c>
      <c r="G66" s="61" t="n">
        <v>-332914077</v>
      </c>
      <c r="H66" s="13" t="s">
        <v>1435</v>
      </c>
      <c r="I66" s="13"/>
      <c r="J66" s="13" t="s">
        <v>1440</v>
      </c>
      <c r="K66" s="13" t="s">
        <v>1441</v>
      </c>
      <c r="L66" s="13" t="s">
        <v>1438</v>
      </c>
      <c r="M66" s="13"/>
    </row>
    <row r="67" customFormat="false" ht="15" hidden="false" customHeight="false" outlineLevel="0" collapsed="false">
      <c r="A67" s="13" t="s">
        <v>595</v>
      </c>
      <c r="B67" s="13" t="s">
        <v>594</v>
      </c>
      <c r="C67" s="13" t="s">
        <v>1442</v>
      </c>
      <c r="D67" s="13" t="s">
        <v>57</v>
      </c>
      <c r="E67" s="13" t="s">
        <v>638</v>
      </c>
      <c r="F67" s="13" t="s">
        <v>639</v>
      </c>
      <c r="G67" s="61" t="n">
        <v>-288463386</v>
      </c>
      <c r="H67" s="13" t="s">
        <v>1435</v>
      </c>
      <c r="I67" s="13"/>
      <c r="J67" s="13" t="s">
        <v>1440</v>
      </c>
      <c r="K67" s="13" t="s">
        <v>606</v>
      </c>
      <c r="L67" s="13" t="s">
        <v>1443</v>
      </c>
      <c r="M67" s="13"/>
    </row>
    <row r="68" customFormat="false" ht="15" hidden="false" customHeight="false" outlineLevel="0" collapsed="false">
      <c r="A68" s="13" t="s">
        <v>595</v>
      </c>
      <c r="B68" s="13" t="s">
        <v>594</v>
      </c>
      <c r="C68" s="13" t="s">
        <v>1444</v>
      </c>
      <c r="D68" s="13" t="s">
        <v>57</v>
      </c>
      <c r="E68" s="13" t="s">
        <v>638</v>
      </c>
      <c r="F68" s="13" t="s">
        <v>639</v>
      </c>
      <c r="G68" s="61" t="n">
        <v>-4566022109</v>
      </c>
      <c r="H68" s="13" t="s">
        <v>1435</v>
      </c>
      <c r="I68" s="13"/>
      <c r="J68" s="13" t="s">
        <v>1445</v>
      </c>
      <c r="K68" s="13" t="s">
        <v>607</v>
      </c>
      <c r="L68" s="13" t="s">
        <v>1443</v>
      </c>
      <c r="M68" s="13"/>
    </row>
    <row r="69" customFormat="false" ht="15" hidden="false" customHeight="false" outlineLevel="0" collapsed="false">
      <c r="A69" s="13" t="s">
        <v>595</v>
      </c>
      <c r="B69" s="13" t="s">
        <v>594</v>
      </c>
      <c r="C69" s="13" t="s">
        <v>1446</v>
      </c>
      <c r="D69" s="13" t="s">
        <v>57</v>
      </c>
      <c r="E69" s="13" t="s">
        <v>638</v>
      </c>
      <c r="F69" s="13" t="s">
        <v>639</v>
      </c>
      <c r="G69" s="61" t="n">
        <v>-4153162003</v>
      </c>
      <c r="H69" s="13" t="s">
        <v>1435</v>
      </c>
      <c r="I69" s="13"/>
      <c r="J69" s="13" t="s">
        <v>1447</v>
      </c>
      <c r="K69" s="13" t="s">
        <v>608</v>
      </c>
      <c r="L69" s="13" t="s">
        <v>1443</v>
      </c>
      <c r="M69" s="13"/>
    </row>
    <row r="70" customFormat="false" ht="15" hidden="false" customHeight="false" outlineLevel="0" collapsed="false">
      <c r="A70" s="13" t="s">
        <v>595</v>
      </c>
      <c r="B70" s="13" t="s">
        <v>594</v>
      </c>
      <c r="C70" s="13" t="s">
        <v>1448</v>
      </c>
      <c r="D70" s="13" t="s">
        <v>57</v>
      </c>
      <c r="E70" s="13" t="s">
        <v>638</v>
      </c>
      <c r="F70" s="13" t="s">
        <v>639</v>
      </c>
      <c r="G70" s="61" t="n">
        <v>-2925769032</v>
      </c>
      <c r="H70" s="13" t="s">
        <v>1435</v>
      </c>
      <c r="I70" s="13"/>
      <c r="J70" s="13" t="s">
        <v>1449</v>
      </c>
      <c r="K70" s="13" t="s">
        <v>609</v>
      </c>
      <c r="L70" s="13" t="s">
        <v>1443</v>
      </c>
      <c r="M70" s="13"/>
    </row>
    <row r="71" customFormat="false" ht="15" hidden="false" customHeight="false" outlineLevel="0" collapsed="false">
      <c r="A71" s="13" t="s">
        <v>595</v>
      </c>
      <c r="B71" s="13" t="s">
        <v>594</v>
      </c>
      <c r="C71" s="13" t="s">
        <v>1434</v>
      </c>
      <c r="D71" s="13" t="s">
        <v>57</v>
      </c>
      <c r="E71" s="13" t="s">
        <v>641</v>
      </c>
      <c r="F71" s="13" t="s">
        <v>141</v>
      </c>
      <c r="G71" s="61" t="n">
        <v>14167951136</v>
      </c>
      <c r="H71" s="13" t="s">
        <v>1435</v>
      </c>
      <c r="I71" s="13"/>
      <c r="J71" s="13"/>
      <c r="K71" s="13" t="s">
        <v>1437</v>
      </c>
      <c r="L71" s="13" t="s">
        <v>1438</v>
      </c>
      <c r="M71" s="13" t="s">
        <v>1450</v>
      </c>
    </row>
    <row r="72" customFormat="false" ht="15" hidden="false" customHeight="false" outlineLevel="0" collapsed="false">
      <c r="A72" s="13" t="s">
        <v>595</v>
      </c>
      <c r="B72" s="13" t="s">
        <v>594</v>
      </c>
      <c r="C72" s="13" t="s">
        <v>1439</v>
      </c>
      <c r="D72" s="13" t="s">
        <v>57</v>
      </c>
      <c r="E72" s="13" t="s">
        <v>641</v>
      </c>
      <c r="F72" s="13" t="s">
        <v>141</v>
      </c>
      <c r="G72" s="61" t="n">
        <v>6173624777</v>
      </c>
      <c r="H72" s="13" t="s">
        <v>1435</v>
      </c>
      <c r="I72" s="13"/>
      <c r="J72" s="13"/>
      <c r="K72" s="13" t="s">
        <v>1441</v>
      </c>
      <c r="L72" s="13" t="s">
        <v>1438</v>
      </c>
      <c r="M72" s="13" t="s">
        <v>1450</v>
      </c>
    </row>
    <row r="73" customFormat="false" ht="15" hidden="false" customHeight="false" outlineLevel="0" collapsed="false">
      <c r="A73" s="13" t="s">
        <v>595</v>
      </c>
      <c r="B73" s="13" t="s">
        <v>594</v>
      </c>
      <c r="C73" s="13" t="s">
        <v>1442</v>
      </c>
      <c r="D73" s="13" t="s">
        <v>57</v>
      </c>
      <c r="E73" s="13" t="s">
        <v>641</v>
      </c>
      <c r="F73" s="13" t="s">
        <v>141</v>
      </c>
      <c r="G73" s="61" t="n">
        <v>-93604422306</v>
      </c>
      <c r="H73" s="13" t="s">
        <v>1435</v>
      </c>
      <c r="I73" s="13"/>
      <c r="J73" s="13"/>
      <c r="K73" s="13" t="s">
        <v>606</v>
      </c>
      <c r="L73" s="13" t="s">
        <v>1443</v>
      </c>
      <c r="M73" s="13" t="s">
        <v>1450</v>
      </c>
    </row>
    <row r="74" customFormat="false" ht="15" hidden="false" customHeight="false" outlineLevel="0" collapsed="false">
      <c r="A74" s="13" t="s">
        <v>595</v>
      </c>
      <c r="B74" s="13" t="s">
        <v>594</v>
      </c>
      <c r="C74" s="13" t="s">
        <v>1444</v>
      </c>
      <c r="D74" s="13" t="s">
        <v>57</v>
      </c>
      <c r="E74" s="13" t="s">
        <v>641</v>
      </c>
      <c r="F74" s="13" t="s">
        <v>141</v>
      </c>
      <c r="G74" s="61" t="n">
        <v>-110688861895</v>
      </c>
      <c r="H74" s="13" t="s">
        <v>1435</v>
      </c>
      <c r="I74" s="13"/>
      <c r="J74" s="13"/>
      <c r="K74" s="13" t="s">
        <v>607</v>
      </c>
      <c r="L74" s="13" t="s">
        <v>1443</v>
      </c>
      <c r="M74" s="13" t="s">
        <v>1450</v>
      </c>
    </row>
    <row r="75" customFormat="false" ht="15" hidden="false" customHeight="false" outlineLevel="0" collapsed="false">
      <c r="A75" s="13" t="s">
        <v>595</v>
      </c>
      <c r="B75" s="13" t="s">
        <v>594</v>
      </c>
      <c r="C75" s="13" t="s">
        <v>1446</v>
      </c>
      <c r="D75" s="13" t="s">
        <v>57</v>
      </c>
      <c r="E75" s="13" t="s">
        <v>641</v>
      </c>
      <c r="F75" s="13" t="s">
        <v>141</v>
      </c>
      <c r="G75" s="61" t="n">
        <v>-79917220104</v>
      </c>
      <c r="H75" s="13" t="s">
        <v>1435</v>
      </c>
      <c r="I75" s="13"/>
      <c r="J75" s="13"/>
      <c r="K75" s="13" t="s">
        <v>608</v>
      </c>
      <c r="L75" s="13" t="s">
        <v>1443</v>
      </c>
      <c r="M75" s="13" t="s">
        <v>1450</v>
      </c>
    </row>
    <row r="76" customFormat="false" ht="15" hidden="false" customHeight="false" outlineLevel="0" collapsed="false">
      <c r="A76" s="13" t="s">
        <v>595</v>
      </c>
      <c r="B76" s="13" t="s">
        <v>594</v>
      </c>
      <c r="C76" s="13" t="s">
        <v>1448</v>
      </c>
      <c r="D76" s="13" t="s">
        <v>57</v>
      </c>
      <c r="E76" s="13" t="s">
        <v>641</v>
      </c>
      <c r="F76" s="13" t="s">
        <v>141</v>
      </c>
      <c r="G76" s="61" t="n">
        <v>5145566121</v>
      </c>
      <c r="H76" s="13" t="s">
        <v>1435</v>
      </c>
      <c r="I76" s="13"/>
      <c r="J76" s="13"/>
      <c r="K76" s="13" t="s">
        <v>609</v>
      </c>
      <c r="L76" s="13" t="s">
        <v>1443</v>
      </c>
      <c r="M76" s="13" t="s">
        <v>1450</v>
      </c>
    </row>
    <row r="77" customFormat="false" ht="15" hidden="false" customHeight="false" outlineLevel="0" collapsed="false">
      <c r="A77" s="13" t="s">
        <v>595</v>
      </c>
      <c r="B77" s="13" t="s">
        <v>594</v>
      </c>
      <c r="C77" s="13" t="s">
        <v>1434</v>
      </c>
      <c r="D77" s="13" t="s">
        <v>57</v>
      </c>
      <c r="E77" s="13" t="s">
        <v>643</v>
      </c>
      <c r="F77" s="13" t="s">
        <v>644</v>
      </c>
      <c r="G77" s="61" t="n">
        <v>212586100</v>
      </c>
      <c r="H77" s="13" t="s">
        <v>1435</v>
      </c>
      <c r="I77" s="13"/>
      <c r="J77" s="13" t="s">
        <v>1436</v>
      </c>
      <c r="K77" s="13" t="s">
        <v>1437</v>
      </c>
      <c r="L77" s="13" t="s">
        <v>1438</v>
      </c>
      <c r="M77" s="13"/>
    </row>
    <row r="78" customFormat="false" ht="15" hidden="false" customHeight="false" outlineLevel="0" collapsed="false">
      <c r="A78" s="13" t="s">
        <v>595</v>
      </c>
      <c r="B78" s="13" t="s">
        <v>594</v>
      </c>
      <c r="C78" s="13" t="s">
        <v>1439</v>
      </c>
      <c r="D78" s="13" t="s">
        <v>57</v>
      </c>
      <c r="E78" s="13" t="s">
        <v>643</v>
      </c>
      <c r="F78" s="13" t="s">
        <v>644</v>
      </c>
      <c r="G78" s="61" t="n">
        <v>1713820262</v>
      </c>
      <c r="H78" s="13" t="s">
        <v>1435</v>
      </c>
      <c r="I78" s="13"/>
      <c r="J78" s="13" t="s">
        <v>1440</v>
      </c>
      <c r="K78" s="13" t="s">
        <v>1441</v>
      </c>
      <c r="L78" s="13" t="s">
        <v>1438</v>
      </c>
      <c r="M78" s="13"/>
    </row>
    <row r="79" customFormat="false" ht="15" hidden="false" customHeight="false" outlineLevel="0" collapsed="false">
      <c r="A79" s="13" t="s">
        <v>595</v>
      </c>
      <c r="B79" s="13" t="s">
        <v>594</v>
      </c>
      <c r="C79" s="13" t="s">
        <v>1442</v>
      </c>
      <c r="D79" s="13" t="s">
        <v>57</v>
      </c>
      <c r="E79" s="13" t="s">
        <v>643</v>
      </c>
      <c r="F79" s="13" t="s">
        <v>644</v>
      </c>
      <c r="G79" s="61" t="n">
        <v>2856898707</v>
      </c>
      <c r="H79" s="13" t="s">
        <v>1435</v>
      </c>
      <c r="I79" s="13"/>
      <c r="J79" s="13" t="s">
        <v>1440</v>
      </c>
      <c r="K79" s="13" t="s">
        <v>606</v>
      </c>
      <c r="L79" s="13" t="s">
        <v>1443</v>
      </c>
      <c r="M79" s="13"/>
    </row>
    <row r="80" customFormat="false" ht="15" hidden="false" customHeight="false" outlineLevel="0" collapsed="false">
      <c r="A80" s="13" t="s">
        <v>595</v>
      </c>
      <c r="B80" s="13" t="s">
        <v>594</v>
      </c>
      <c r="C80" s="13" t="s">
        <v>1444</v>
      </c>
      <c r="D80" s="13" t="s">
        <v>57</v>
      </c>
      <c r="E80" s="13" t="s">
        <v>643</v>
      </c>
      <c r="F80" s="13" t="s">
        <v>644</v>
      </c>
      <c r="G80" s="61" t="n">
        <v>1950086378</v>
      </c>
      <c r="H80" s="13" t="s">
        <v>1435</v>
      </c>
      <c r="I80" s="13"/>
      <c r="J80" s="13" t="s">
        <v>1445</v>
      </c>
      <c r="K80" s="13" t="s">
        <v>607</v>
      </c>
      <c r="L80" s="13" t="s">
        <v>1443</v>
      </c>
      <c r="M80" s="13"/>
    </row>
    <row r="81" customFormat="false" ht="15" hidden="false" customHeight="false" outlineLevel="0" collapsed="false">
      <c r="A81" s="13" t="s">
        <v>595</v>
      </c>
      <c r="B81" s="13" t="s">
        <v>594</v>
      </c>
      <c r="C81" s="13" t="s">
        <v>1446</v>
      </c>
      <c r="D81" s="13" t="s">
        <v>57</v>
      </c>
      <c r="E81" s="13" t="s">
        <v>643</v>
      </c>
      <c r="F81" s="13" t="s">
        <v>644</v>
      </c>
      <c r="G81" s="61" t="n">
        <v>743652348</v>
      </c>
      <c r="H81" s="13" t="s">
        <v>1435</v>
      </c>
      <c r="I81" s="13"/>
      <c r="J81" s="13" t="s">
        <v>1447</v>
      </c>
      <c r="K81" s="13" t="s">
        <v>608</v>
      </c>
      <c r="L81" s="13" t="s">
        <v>1443</v>
      </c>
      <c r="M81" s="13"/>
    </row>
    <row r="82" customFormat="false" ht="15" hidden="false" customHeight="false" outlineLevel="0" collapsed="false">
      <c r="A82" s="13" t="s">
        <v>595</v>
      </c>
      <c r="B82" s="13" t="s">
        <v>594</v>
      </c>
      <c r="C82" s="13" t="s">
        <v>1448</v>
      </c>
      <c r="D82" s="13" t="s">
        <v>57</v>
      </c>
      <c r="E82" s="13" t="s">
        <v>643</v>
      </c>
      <c r="F82" s="13" t="s">
        <v>644</v>
      </c>
      <c r="G82" s="61" t="n">
        <v>414241358</v>
      </c>
      <c r="H82" s="13" t="s">
        <v>1435</v>
      </c>
      <c r="I82" s="13"/>
      <c r="J82" s="13" t="s">
        <v>1449</v>
      </c>
      <c r="K82" s="13" t="s">
        <v>609</v>
      </c>
      <c r="L82" s="13" t="s">
        <v>1443</v>
      </c>
      <c r="M82" s="13"/>
    </row>
    <row r="83" customFormat="false" ht="15" hidden="false" customHeight="false" outlineLevel="0" collapsed="false">
      <c r="A83" s="13" t="s">
        <v>595</v>
      </c>
      <c r="B83" s="13" t="s">
        <v>594</v>
      </c>
      <c r="C83" s="13" t="s">
        <v>1434</v>
      </c>
      <c r="D83" s="13" t="s">
        <v>57</v>
      </c>
      <c r="E83" s="13" t="s">
        <v>646</v>
      </c>
      <c r="F83" s="13" t="s">
        <v>647</v>
      </c>
      <c r="G83" s="61" t="n">
        <v>-46768943</v>
      </c>
      <c r="H83" s="13" t="s">
        <v>1435</v>
      </c>
      <c r="I83" s="13"/>
      <c r="J83" s="13" t="s">
        <v>1436</v>
      </c>
      <c r="K83" s="13" t="s">
        <v>1437</v>
      </c>
      <c r="L83" s="13" t="s">
        <v>1438</v>
      </c>
      <c r="M83" s="13"/>
    </row>
    <row r="84" customFormat="false" ht="15" hidden="false" customHeight="false" outlineLevel="0" collapsed="false">
      <c r="A84" s="13" t="s">
        <v>595</v>
      </c>
      <c r="B84" s="13" t="s">
        <v>594</v>
      </c>
      <c r="C84" s="13" t="s">
        <v>1439</v>
      </c>
      <c r="D84" s="13" t="s">
        <v>57</v>
      </c>
      <c r="E84" s="13" t="s">
        <v>646</v>
      </c>
      <c r="F84" s="13" t="s">
        <v>647</v>
      </c>
      <c r="G84" s="61" t="n">
        <v>-377040458</v>
      </c>
      <c r="H84" s="13" t="s">
        <v>1435</v>
      </c>
      <c r="I84" s="13"/>
      <c r="J84" s="13" t="s">
        <v>1440</v>
      </c>
      <c r="K84" s="13" t="s">
        <v>1441</v>
      </c>
      <c r="L84" s="13" t="s">
        <v>1438</v>
      </c>
      <c r="M84" s="13"/>
    </row>
    <row r="85" customFormat="false" ht="15" hidden="false" customHeight="false" outlineLevel="0" collapsed="false">
      <c r="A85" s="13" t="s">
        <v>595</v>
      </c>
      <c r="B85" s="13" t="s">
        <v>594</v>
      </c>
      <c r="C85" s="13" t="s">
        <v>1442</v>
      </c>
      <c r="D85" s="13" t="s">
        <v>57</v>
      </c>
      <c r="E85" s="13" t="s">
        <v>646</v>
      </c>
      <c r="F85" s="13" t="s">
        <v>647</v>
      </c>
      <c r="G85" s="61" t="n">
        <v>-628517716</v>
      </c>
      <c r="H85" s="13" t="s">
        <v>1435</v>
      </c>
      <c r="I85" s="13"/>
      <c r="J85" s="13" t="s">
        <v>1440</v>
      </c>
      <c r="K85" s="13" t="s">
        <v>606</v>
      </c>
      <c r="L85" s="13" t="s">
        <v>1443</v>
      </c>
      <c r="M85" s="13"/>
    </row>
    <row r="86" customFormat="false" ht="15" hidden="false" customHeight="false" outlineLevel="0" collapsed="false">
      <c r="A86" s="13" t="s">
        <v>595</v>
      </c>
      <c r="B86" s="13" t="s">
        <v>594</v>
      </c>
      <c r="C86" s="13" t="s">
        <v>1444</v>
      </c>
      <c r="D86" s="13" t="s">
        <v>57</v>
      </c>
      <c r="E86" s="13" t="s">
        <v>646</v>
      </c>
      <c r="F86" s="13" t="s">
        <v>647</v>
      </c>
      <c r="G86" s="61" t="n">
        <v>-429019004</v>
      </c>
      <c r="H86" s="13" t="s">
        <v>1435</v>
      </c>
      <c r="I86" s="13"/>
      <c r="J86" s="13" t="s">
        <v>1445</v>
      </c>
      <c r="K86" s="13" t="s">
        <v>607</v>
      </c>
      <c r="L86" s="13" t="s">
        <v>1443</v>
      </c>
      <c r="M86" s="13"/>
    </row>
    <row r="87" customFormat="false" ht="15" hidden="false" customHeight="false" outlineLevel="0" collapsed="false">
      <c r="A87" s="13" t="s">
        <v>595</v>
      </c>
      <c r="B87" s="13" t="s">
        <v>594</v>
      </c>
      <c r="C87" s="13" t="s">
        <v>1446</v>
      </c>
      <c r="D87" s="13" t="s">
        <v>57</v>
      </c>
      <c r="E87" s="13" t="s">
        <v>646</v>
      </c>
      <c r="F87" s="13" t="s">
        <v>647</v>
      </c>
      <c r="G87" s="61" t="n">
        <v>-163603517</v>
      </c>
      <c r="H87" s="13" t="s">
        <v>1435</v>
      </c>
      <c r="I87" s="13"/>
      <c r="J87" s="13" t="s">
        <v>1447</v>
      </c>
      <c r="K87" s="13" t="s">
        <v>608</v>
      </c>
      <c r="L87" s="13" t="s">
        <v>1443</v>
      </c>
      <c r="M87" s="13"/>
    </row>
    <row r="88" customFormat="false" ht="15" hidden="false" customHeight="false" outlineLevel="0" collapsed="false">
      <c r="A88" s="13" t="s">
        <v>595</v>
      </c>
      <c r="B88" s="13" t="s">
        <v>594</v>
      </c>
      <c r="C88" s="13" t="s">
        <v>1448</v>
      </c>
      <c r="D88" s="13" t="s">
        <v>57</v>
      </c>
      <c r="E88" s="13" t="s">
        <v>646</v>
      </c>
      <c r="F88" s="13" t="s">
        <v>647</v>
      </c>
      <c r="G88" s="61" t="n">
        <v>-91133099</v>
      </c>
      <c r="H88" s="13" t="s">
        <v>1435</v>
      </c>
      <c r="I88" s="13"/>
      <c r="J88" s="13" t="s">
        <v>1449</v>
      </c>
      <c r="K88" s="13" t="s">
        <v>609</v>
      </c>
      <c r="L88" s="13" t="s">
        <v>1443</v>
      </c>
      <c r="M88" s="13"/>
    </row>
    <row r="89" customFormat="false" ht="15" hidden="false" customHeight="false" outlineLevel="0" collapsed="false">
      <c r="A89" s="13" t="s">
        <v>595</v>
      </c>
      <c r="B89" s="13" t="s">
        <v>594</v>
      </c>
      <c r="C89" s="13" t="s">
        <v>1434</v>
      </c>
      <c r="D89" s="13" t="s">
        <v>57</v>
      </c>
      <c r="E89" s="13" t="s">
        <v>649</v>
      </c>
      <c r="F89" s="13" t="s">
        <v>650</v>
      </c>
      <c r="G89" s="61" t="n">
        <v>165817157</v>
      </c>
      <c r="H89" s="13" t="s">
        <v>1435</v>
      </c>
      <c r="I89" s="13"/>
      <c r="J89" s="13"/>
      <c r="K89" s="13" t="s">
        <v>1437</v>
      </c>
      <c r="L89" s="13" t="s">
        <v>1438</v>
      </c>
      <c r="M89" s="13" t="s">
        <v>1450</v>
      </c>
    </row>
    <row r="90" customFormat="false" ht="15" hidden="false" customHeight="false" outlineLevel="0" collapsed="false">
      <c r="A90" s="13" t="s">
        <v>595</v>
      </c>
      <c r="B90" s="13" t="s">
        <v>594</v>
      </c>
      <c r="C90" s="13" t="s">
        <v>1439</v>
      </c>
      <c r="D90" s="13" t="s">
        <v>57</v>
      </c>
      <c r="E90" s="13" t="s">
        <v>649</v>
      </c>
      <c r="F90" s="13" t="s">
        <v>650</v>
      </c>
      <c r="G90" s="61" t="n">
        <v>1336779804</v>
      </c>
      <c r="H90" s="13" t="s">
        <v>1435</v>
      </c>
      <c r="I90" s="13"/>
      <c r="J90" s="13"/>
      <c r="K90" s="13" t="s">
        <v>1441</v>
      </c>
      <c r="L90" s="13" t="s">
        <v>1438</v>
      </c>
      <c r="M90" s="13" t="s">
        <v>1450</v>
      </c>
    </row>
    <row r="91" customFormat="false" ht="15" hidden="false" customHeight="false" outlineLevel="0" collapsed="false">
      <c r="A91" s="13" t="s">
        <v>595</v>
      </c>
      <c r="B91" s="13" t="s">
        <v>594</v>
      </c>
      <c r="C91" s="13" t="s">
        <v>1442</v>
      </c>
      <c r="D91" s="13" t="s">
        <v>57</v>
      </c>
      <c r="E91" s="13" t="s">
        <v>649</v>
      </c>
      <c r="F91" s="13" t="s">
        <v>650</v>
      </c>
      <c r="G91" s="61" t="n">
        <v>2228380991</v>
      </c>
      <c r="H91" s="13" t="s">
        <v>1435</v>
      </c>
      <c r="I91" s="13"/>
      <c r="J91" s="13"/>
      <c r="K91" s="13" t="s">
        <v>606</v>
      </c>
      <c r="L91" s="13" t="s">
        <v>1443</v>
      </c>
      <c r="M91" s="13" t="s">
        <v>1450</v>
      </c>
    </row>
    <row r="92" customFormat="false" ht="15" hidden="false" customHeight="false" outlineLevel="0" collapsed="false">
      <c r="A92" s="13" t="s">
        <v>595</v>
      </c>
      <c r="B92" s="13" t="s">
        <v>594</v>
      </c>
      <c r="C92" s="13" t="s">
        <v>1444</v>
      </c>
      <c r="D92" s="13" t="s">
        <v>57</v>
      </c>
      <c r="E92" s="13" t="s">
        <v>649</v>
      </c>
      <c r="F92" s="13" t="s">
        <v>650</v>
      </c>
      <c r="G92" s="61" t="n">
        <v>1521067374</v>
      </c>
      <c r="H92" s="13" t="s">
        <v>1435</v>
      </c>
      <c r="I92" s="13"/>
      <c r="J92" s="13"/>
      <c r="K92" s="13" t="s">
        <v>607</v>
      </c>
      <c r="L92" s="13" t="s">
        <v>1443</v>
      </c>
      <c r="M92" s="13" t="s">
        <v>1450</v>
      </c>
    </row>
    <row r="93" customFormat="false" ht="15" hidden="false" customHeight="false" outlineLevel="0" collapsed="false">
      <c r="A93" s="13" t="s">
        <v>595</v>
      </c>
      <c r="B93" s="13" t="s">
        <v>594</v>
      </c>
      <c r="C93" s="13" t="s">
        <v>1446</v>
      </c>
      <c r="D93" s="13" t="s">
        <v>57</v>
      </c>
      <c r="E93" s="13" t="s">
        <v>649</v>
      </c>
      <c r="F93" s="13" t="s">
        <v>650</v>
      </c>
      <c r="G93" s="61" t="n">
        <v>580048831</v>
      </c>
      <c r="H93" s="13" t="s">
        <v>1435</v>
      </c>
      <c r="I93" s="13"/>
      <c r="J93" s="13"/>
      <c r="K93" s="13" t="s">
        <v>608</v>
      </c>
      <c r="L93" s="13" t="s">
        <v>1443</v>
      </c>
      <c r="M93" s="13" t="s">
        <v>1450</v>
      </c>
    </row>
    <row r="94" customFormat="false" ht="15" hidden="false" customHeight="false" outlineLevel="0" collapsed="false">
      <c r="A94" s="13" t="s">
        <v>595</v>
      </c>
      <c r="B94" s="13" t="s">
        <v>594</v>
      </c>
      <c r="C94" s="13" t="s">
        <v>1448</v>
      </c>
      <c r="D94" s="13" t="s">
        <v>57</v>
      </c>
      <c r="E94" s="13" t="s">
        <v>649</v>
      </c>
      <c r="F94" s="13" t="s">
        <v>650</v>
      </c>
      <c r="G94" s="61" t="n">
        <v>323108259</v>
      </c>
      <c r="H94" s="13" t="s">
        <v>1435</v>
      </c>
      <c r="I94" s="13"/>
      <c r="J94" s="13"/>
      <c r="K94" s="13" t="s">
        <v>609</v>
      </c>
      <c r="L94" s="13" t="s">
        <v>1443</v>
      </c>
      <c r="M94" s="13" t="s">
        <v>1450</v>
      </c>
    </row>
    <row r="95" customFormat="false" ht="15" hidden="false" customHeight="false" outlineLevel="0" collapsed="false">
      <c r="A95" s="13" t="s">
        <v>595</v>
      </c>
      <c r="B95" s="13" t="s">
        <v>594</v>
      </c>
      <c r="C95" s="13" t="s">
        <v>1434</v>
      </c>
      <c r="D95" s="13" t="s">
        <v>57</v>
      </c>
      <c r="E95" s="13" t="s">
        <v>651</v>
      </c>
      <c r="F95" s="13" t="s">
        <v>652</v>
      </c>
      <c r="G95" s="61" t="n">
        <v>14333768293</v>
      </c>
      <c r="H95" s="13" t="s">
        <v>1435</v>
      </c>
      <c r="I95" s="13"/>
      <c r="J95" s="13"/>
      <c r="K95" s="13" t="s">
        <v>1437</v>
      </c>
      <c r="L95" s="13" t="s">
        <v>1438</v>
      </c>
      <c r="M95" s="13" t="s">
        <v>1450</v>
      </c>
    </row>
    <row r="96" customFormat="false" ht="15" hidden="false" customHeight="false" outlineLevel="0" collapsed="false">
      <c r="A96" s="13" t="s">
        <v>595</v>
      </c>
      <c r="B96" s="13" t="s">
        <v>594</v>
      </c>
      <c r="C96" s="13" t="s">
        <v>1439</v>
      </c>
      <c r="D96" s="13" t="s">
        <v>57</v>
      </c>
      <c r="E96" s="13" t="s">
        <v>651</v>
      </c>
      <c r="F96" s="13" t="s">
        <v>652</v>
      </c>
      <c r="G96" s="61" t="n">
        <v>7510404581</v>
      </c>
      <c r="H96" s="13" t="s">
        <v>1435</v>
      </c>
      <c r="I96" s="13"/>
      <c r="J96" s="13"/>
      <c r="K96" s="13" t="s">
        <v>1441</v>
      </c>
      <c r="L96" s="13" t="s">
        <v>1438</v>
      </c>
      <c r="M96" s="13" t="s">
        <v>1450</v>
      </c>
    </row>
    <row r="97" customFormat="false" ht="15" hidden="false" customHeight="false" outlineLevel="0" collapsed="false">
      <c r="A97" s="13" t="s">
        <v>595</v>
      </c>
      <c r="B97" s="13" t="s">
        <v>594</v>
      </c>
      <c r="C97" s="13" t="s">
        <v>1442</v>
      </c>
      <c r="D97" s="13" t="s">
        <v>57</v>
      </c>
      <c r="E97" s="13" t="s">
        <v>651</v>
      </c>
      <c r="F97" s="13" t="s">
        <v>652</v>
      </c>
      <c r="G97" s="61" t="n">
        <v>-91376041315</v>
      </c>
      <c r="H97" s="13" t="s">
        <v>1435</v>
      </c>
      <c r="I97" s="13"/>
      <c r="J97" s="13"/>
      <c r="K97" s="13" t="s">
        <v>606</v>
      </c>
      <c r="L97" s="13" t="s">
        <v>1443</v>
      </c>
      <c r="M97" s="13" t="s">
        <v>1450</v>
      </c>
    </row>
    <row r="98" customFormat="false" ht="15" hidden="false" customHeight="false" outlineLevel="0" collapsed="false">
      <c r="A98" s="13" t="s">
        <v>595</v>
      </c>
      <c r="B98" s="13" t="s">
        <v>594</v>
      </c>
      <c r="C98" s="13" t="s">
        <v>1444</v>
      </c>
      <c r="D98" s="13" t="s">
        <v>57</v>
      </c>
      <c r="E98" s="13" t="s">
        <v>651</v>
      </c>
      <c r="F98" s="13" t="s">
        <v>652</v>
      </c>
      <c r="G98" s="61" t="n">
        <v>-109167794521</v>
      </c>
      <c r="H98" s="13" t="s">
        <v>1435</v>
      </c>
      <c r="I98" s="13"/>
      <c r="J98" s="13"/>
      <c r="K98" s="13" t="s">
        <v>607</v>
      </c>
      <c r="L98" s="13" t="s">
        <v>1443</v>
      </c>
      <c r="M98" s="13" t="s">
        <v>1450</v>
      </c>
    </row>
    <row r="99" customFormat="false" ht="15" hidden="false" customHeight="false" outlineLevel="0" collapsed="false">
      <c r="A99" s="13" t="s">
        <v>595</v>
      </c>
      <c r="B99" s="13" t="s">
        <v>594</v>
      </c>
      <c r="C99" s="13" t="s">
        <v>1446</v>
      </c>
      <c r="D99" s="13" t="s">
        <v>57</v>
      </c>
      <c r="E99" s="13" t="s">
        <v>651</v>
      </c>
      <c r="F99" s="13" t="s">
        <v>652</v>
      </c>
      <c r="G99" s="61" t="n">
        <v>-79337171273</v>
      </c>
      <c r="H99" s="13" t="s">
        <v>1435</v>
      </c>
      <c r="I99" s="13"/>
      <c r="J99" s="13"/>
      <c r="K99" s="13" t="s">
        <v>608</v>
      </c>
      <c r="L99" s="13" t="s">
        <v>1443</v>
      </c>
      <c r="M99" s="13" t="s">
        <v>1450</v>
      </c>
    </row>
    <row r="100" customFormat="false" ht="15" hidden="false" customHeight="false" outlineLevel="0" collapsed="false">
      <c r="A100" s="13" t="s">
        <v>595</v>
      </c>
      <c r="B100" s="13" t="s">
        <v>594</v>
      </c>
      <c r="C100" s="13" t="s">
        <v>1448</v>
      </c>
      <c r="D100" s="13" t="s">
        <v>57</v>
      </c>
      <c r="E100" s="13" t="s">
        <v>651</v>
      </c>
      <c r="F100" s="13" t="s">
        <v>652</v>
      </c>
      <c r="G100" s="61" t="n">
        <v>5468674380</v>
      </c>
      <c r="H100" s="13" t="s">
        <v>1435</v>
      </c>
      <c r="I100" s="13"/>
      <c r="J100" s="13"/>
      <c r="K100" s="13" t="s">
        <v>609</v>
      </c>
      <c r="L100" s="13" t="s">
        <v>1443</v>
      </c>
      <c r="M100" s="13" t="s">
        <v>1450</v>
      </c>
    </row>
    <row r="101" customFormat="false" ht="15" hidden="false" customHeight="false" outlineLevel="0" collapsed="false">
      <c r="A101" s="13" t="s">
        <v>595</v>
      </c>
      <c r="B101" s="13" t="s">
        <v>594</v>
      </c>
      <c r="C101" s="13" t="s">
        <v>1434</v>
      </c>
      <c r="D101" s="13" t="s">
        <v>57</v>
      </c>
      <c r="E101" s="13" t="s">
        <v>654</v>
      </c>
      <c r="F101" s="13" t="s">
        <v>655</v>
      </c>
      <c r="G101" s="61" t="n">
        <v>14312842564</v>
      </c>
      <c r="H101" s="13" t="s">
        <v>1435</v>
      </c>
      <c r="I101" s="13"/>
      <c r="J101" s="13" t="s">
        <v>1436</v>
      </c>
      <c r="K101" s="13" t="s">
        <v>1437</v>
      </c>
      <c r="L101" s="13" t="s">
        <v>1438</v>
      </c>
      <c r="M101" s="13"/>
    </row>
    <row r="102" customFormat="false" ht="15" hidden="false" customHeight="false" outlineLevel="0" collapsed="false">
      <c r="A102" s="13" t="s">
        <v>595</v>
      </c>
      <c r="B102" s="13" t="s">
        <v>594</v>
      </c>
      <c r="C102" s="13" t="s">
        <v>1439</v>
      </c>
      <c r="D102" s="13" t="s">
        <v>57</v>
      </c>
      <c r="E102" s="13" t="s">
        <v>654</v>
      </c>
      <c r="F102" s="13" t="s">
        <v>655</v>
      </c>
      <c r="G102" s="61" t="n">
        <v>6099193871</v>
      </c>
      <c r="H102" s="13" t="s">
        <v>1435</v>
      </c>
      <c r="I102" s="13"/>
      <c r="J102" s="13" t="s">
        <v>1440</v>
      </c>
      <c r="K102" s="13" t="s">
        <v>1441</v>
      </c>
      <c r="L102" s="13" t="s">
        <v>1438</v>
      </c>
      <c r="M102" s="13"/>
    </row>
    <row r="103" customFormat="false" ht="15" hidden="false" customHeight="false" outlineLevel="0" collapsed="false">
      <c r="A103" s="13" t="s">
        <v>595</v>
      </c>
      <c r="B103" s="13" t="s">
        <v>594</v>
      </c>
      <c r="C103" s="13" t="s">
        <v>1442</v>
      </c>
      <c r="D103" s="13" t="s">
        <v>57</v>
      </c>
      <c r="E103" s="13" t="s">
        <v>654</v>
      </c>
      <c r="F103" s="13" t="s">
        <v>655</v>
      </c>
      <c r="G103" s="61" t="n">
        <v>-93543896993</v>
      </c>
      <c r="H103" s="13" t="s">
        <v>1435</v>
      </c>
      <c r="I103" s="13"/>
      <c r="J103" s="13" t="s">
        <v>1440</v>
      </c>
      <c r="K103" s="13" t="s">
        <v>606</v>
      </c>
      <c r="L103" s="13" t="s">
        <v>1443</v>
      </c>
      <c r="M103" s="13"/>
    </row>
    <row r="104" customFormat="false" ht="15" hidden="false" customHeight="false" outlineLevel="0" collapsed="false">
      <c r="A104" s="13" t="s">
        <v>595</v>
      </c>
      <c r="B104" s="13" t="s">
        <v>594</v>
      </c>
      <c r="C104" s="13" t="s">
        <v>1444</v>
      </c>
      <c r="D104" s="13" t="s">
        <v>57</v>
      </c>
      <c r="E104" s="13" t="s">
        <v>654</v>
      </c>
      <c r="F104" s="13" t="s">
        <v>655</v>
      </c>
      <c r="G104" s="61" t="n">
        <v>-110919788807</v>
      </c>
      <c r="H104" s="13" t="s">
        <v>1435</v>
      </c>
      <c r="I104" s="13"/>
      <c r="J104" s="13" t="s">
        <v>1445</v>
      </c>
      <c r="K104" s="13" t="s">
        <v>607</v>
      </c>
      <c r="L104" s="13" t="s">
        <v>1443</v>
      </c>
      <c r="M104" s="13"/>
    </row>
    <row r="105" customFormat="false" ht="15" hidden="false" customHeight="false" outlineLevel="0" collapsed="false">
      <c r="A105" s="13" t="s">
        <v>595</v>
      </c>
      <c r="B105" s="13" t="s">
        <v>594</v>
      </c>
      <c r="C105" s="13" t="s">
        <v>1446</v>
      </c>
      <c r="D105" s="13" t="s">
        <v>57</v>
      </c>
      <c r="E105" s="13" t="s">
        <v>654</v>
      </c>
      <c r="F105" s="13" t="s">
        <v>655</v>
      </c>
      <c r="G105" s="61" t="n">
        <v>-80309181321</v>
      </c>
      <c r="H105" s="13" t="s">
        <v>1435</v>
      </c>
      <c r="I105" s="13"/>
      <c r="J105" s="13" t="s">
        <v>1447</v>
      </c>
      <c r="K105" s="13" t="s">
        <v>608</v>
      </c>
      <c r="L105" s="13" t="s">
        <v>1443</v>
      </c>
      <c r="M105" s="13"/>
    </row>
    <row r="106" customFormat="false" ht="15" hidden="false" customHeight="false" outlineLevel="0" collapsed="false">
      <c r="A106" s="13" t="s">
        <v>595</v>
      </c>
      <c r="B106" s="13" t="s">
        <v>594</v>
      </c>
      <c r="C106" s="13" t="s">
        <v>1448</v>
      </c>
      <c r="D106" s="13" t="s">
        <v>57</v>
      </c>
      <c r="E106" s="13" t="s">
        <v>654</v>
      </c>
      <c r="F106" s="13" t="s">
        <v>655</v>
      </c>
      <c r="G106" s="61" t="n">
        <v>4952718308</v>
      </c>
      <c r="H106" s="13" t="s">
        <v>1435</v>
      </c>
      <c r="I106" s="13"/>
      <c r="J106" s="13" t="s">
        <v>1449</v>
      </c>
      <c r="K106" s="13" t="s">
        <v>609</v>
      </c>
      <c r="L106" s="13" t="s">
        <v>1443</v>
      </c>
      <c r="M106" s="13"/>
    </row>
    <row r="107" customFormat="false" ht="15" hidden="false" customHeight="false" outlineLevel="0" collapsed="false">
      <c r="A107" s="13" t="s">
        <v>595</v>
      </c>
      <c r="B107" s="13" t="s">
        <v>594</v>
      </c>
      <c r="C107" s="13" t="s">
        <v>1434</v>
      </c>
      <c r="D107" s="13" t="s">
        <v>57</v>
      </c>
      <c r="E107" s="13" t="s">
        <v>657</v>
      </c>
      <c r="F107" s="13" t="s">
        <v>658</v>
      </c>
      <c r="G107" s="61" t="n">
        <v>-144891428</v>
      </c>
      <c r="H107" s="13" t="s">
        <v>1435</v>
      </c>
      <c r="I107" s="13"/>
      <c r="J107" s="13" t="s">
        <v>1436</v>
      </c>
      <c r="K107" s="13" t="s">
        <v>1437</v>
      </c>
      <c r="L107" s="13" t="s">
        <v>1438</v>
      </c>
      <c r="M107" s="13"/>
    </row>
    <row r="108" customFormat="false" ht="15" hidden="false" customHeight="false" outlineLevel="0" collapsed="false">
      <c r="A108" s="13" t="s">
        <v>595</v>
      </c>
      <c r="B108" s="13" t="s">
        <v>594</v>
      </c>
      <c r="C108" s="13" t="s">
        <v>1439</v>
      </c>
      <c r="D108" s="13" t="s">
        <v>57</v>
      </c>
      <c r="E108" s="13" t="s">
        <v>657</v>
      </c>
      <c r="F108" s="13" t="s">
        <v>658</v>
      </c>
      <c r="G108" s="61" t="n">
        <v>74430906</v>
      </c>
      <c r="H108" s="13" t="s">
        <v>1435</v>
      </c>
      <c r="I108" s="13"/>
      <c r="J108" s="13" t="s">
        <v>1440</v>
      </c>
      <c r="K108" s="13" t="s">
        <v>1441</v>
      </c>
      <c r="L108" s="13" t="s">
        <v>1438</v>
      </c>
      <c r="M108" s="13"/>
    </row>
    <row r="109" customFormat="false" ht="15" hidden="false" customHeight="false" outlineLevel="0" collapsed="false">
      <c r="A109" s="13" t="s">
        <v>595</v>
      </c>
      <c r="B109" s="13" t="s">
        <v>594</v>
      </c>
      <c r="C109" s="13" t="s">
        <v>1442</v>
      </c>
      <c r="D109" s="13" t="s">
        <v>57</v>
      </c>
      <c r="E109" s="13" t="s">
        <v>657</v>
      </c>
      <c r="F109" s="13" t="s">
        <v>658</v>
      </c>
      <c r="G109" s="61" t="n">
        <v>-60525313</v>
      </c>
      <c r="H109" s="13" t="s">
        <v>1435</v>
      </c>
      <c r="I109" s="13"/>
      <c r="J109" s="13" t="s">
        <v>1440</v>
      </c>
      <c r="K109" s="13" t="s">
        <v>606</v>
      </c>
      <c r="L109" s="13" t="s">
        <v>1443</v>
      </c>
      <c r="M109" s="13"/>
    </row>
    <row r="110" customFormat="false" ht="15" hidden="false" customHeight="false" outlineLevel="0" collapsed="false">
      <c r="A110" s="13" t="s">
        <v>595</v>
      </c>
      <c r="B110" s="13" t="s">
        <v>594</v>
      </c>
      <c r="C110" s="13" t="s">
        <v>1444</v>
      </c>
      <c r="D110" s="13" t="s">
        <v>57</v>
      </c>
      <c r="E110" s="13" t="s">
        <v>657</v>
      </c>
      <c r="F110" s="13" t="s">
        <v>658</v>
      </c>
      <c r="G110" s="61" t="n">
        <v>230926912</v>
      </c>
      <c r="H110" s="13" t="s">
        <v>1435</v>
      </c>
      <c r="I110" s="13"/>
      <c r="J110" s="13" t="s">
        <v>1445</v>
      </c>
      <c r="K110" s="13" t="s">
        <v>607</v>
      </c>
      <c r="L110" s="13" t="s">
        <v>1443</v>
      </c>
      <c r="M110" s="13"/>
    </row>
    <row r="111" customFormat="false" ht="15" hidden="false" customHeight="false" outlineLevel="0" collapsed="false">
      <c r="A111" s="13" t="s">
        <v>595</v>
      </c>
      <c r="B111" s="13" t="s">
        <v>594</v>
      </c>
      <c r="C111" s="13" t="s">
        <v>1446</v>
      </c>
      <c r="D111" s="13" t="s">
        <v>57</v>
      </c>
      <c r="E111" s="13" t="s">
        <v>657</v>
      </c>
      <c r="F111" s="13" t="s">
        <v>658</v>
      </c>
      <c r="G111" s="61" t="n">
        <v>391961217</v>
      </c>
      <c r="H111" s="13" t="s">
        <v>1435</v>
      </c>
      <c r="I111" s="13"/>
      <c r="J111" s="13" t="s">
        <v>1447</v>
      </c>
      <c r="K111" s="13" t="s">
        <v>608</v>
      </c>
      <c r="L111" s="13" t="s">
        <v>1443</v>
      </c>
      <c r="M111" s="13"/>
    </row>
    <row r="112" customFormat="false" ht="15" hidden="false" customHeight="false" outlineLevel="0" collapsed="false">
      <c r="A112" s="13" t="s">
        <v>595</v>
      </c>
      <c r="B112" s="13" t="s">
        <v>594</v>
      </c>
      <c r="C112" s="13" t="s">
        <v>1448</v>
      </c>
      <c r="D112" s="13" t="s">
        <v>57</v>
      </c>
      <c r="E112" s="13" t="s">
        <v>657</v>
      </c>
      <c r="F112" s="13" t="s">
        <v>658</v>
      </c>
      <c r="G112" s="61" t="n">
        <v>192847813</v>
      </c>
      <c r="H112" s="13" t="s">
        <v>1435</v>
      </c>
      <c r="I112" s="13"/>
      <c r="J112" s="13" t="s">
        <v>1449</v>
      </c>
      <c r="K112" s="13" t="s">
        <v>609</v>
      </c>
      <c r="L112" s="13" t="s">
        <v>1443</v>
      </c>
      <c r="M112" s="13"/>
    </row>
    <row r="113" customFormat="false" ht="15" hidden="false" customHeight="false" outlineLevel="0" collapsed="false">
      <c r="A113" s="13" t="s">
        <v>595</v>
      </c>
      <c r="B113" s="13" t="s">
        <v>594</v>
      </c>
      <c r="C113" s="13" t="s">
        <v>1434</v>
      </c>
      <c r="D113" s="13" t="s">
        <v>57</v>
      </c>
      <c r="E113" s="13" t="s">
        <v>660</v>
      </c>
      <c r="F113" s="13" t="s">
        <v>661</v>
      </c>
      <c r="G113" s="61" t="n">
        <v>14481079666</v>
      </c>
      <c r="H113" s="13" t="s">
        <v>1435</v>
      </c>
      <c r="I113" s="13"/>
      <c r="J113" s="13" t="s">
        <v>1436</v>
      </c>
      <c r="K113" s="13" t="s">
        <v>1437</v>
      </c>
      <c r="L113" s="13" t="s">
        <v>1438</v>
      </c>
      <c r="M113" s="13"/>
    </row>
    <row r="114" customFormat="false" ht="15" hidden="false" customHeight="false" outlineLevel="0" collapsed="false">
      <c r="A114" s="13" t="s">
        <v>595</v>
      </c>
      <c r="B114" s="13" t="s">
        <v>594</v>
      </c>
      <c r="C114" s="13" t="s">
        <v>1439</v>
      </c>
      <c r="D114" s="13" t="s">
        <v>57</v>
      </c>
      <c r="E114" s="13" t="s">
        <v>660</v>
      </c>
      <c r="F114" s="13" t="s">
        <v>661</v>
      </c>
      <c r="G114" s="61" t="n">
        <v>7416307993</v>
      </c>
      <c r="H114" s="13" t="s">
        <v>1435</v>
      </c>
      <c r="I114" s="13"/>
      <c r="J114" s="13" t="s">
        <v>1440</v>
      </c>
      <c r="K114" s="13" t="s">
        <v>1441</v>
      </c>
      <c r="L114" s="13" t="s">
        <v>1438</v>
      </c>
      <c r="M114" s="13"/>
    </row>
    <row r="115" customFormat="false" ht="15" hidden="false" customHeight="false" outlineLevel="0" collapsed="false">
      <c r="A115" s="13" t="s">
        <v>595</v>
      </c>
      <c r="B115" s="13" t="s">
        <v>594</v>
      </c>
      <c r="C115" s="13" t="s">
        <v>1442</v>
      </c>
      <c r="D115" s="13" t="s">
        <v>57</v>
      </c>
      <c r="E115" s="13" t="s">
        <v>660</v>
      </c>
      <c r="F115" s="13" t="s">
        <v>661</v>
      </c>
      <c r="G115" s="61" t="n">
        <v>-91343061468</v>
      </c>
      <c r="H115" s="13" t="s">
        <v>1435</v>
      </c>
      <c r="I115" s="13"/>
      <c r="J115" s="13" t="s">
        <v>1440</v>
      </c>
      <c r="K115" s="13" t="s">
        <v>606</v>
      </c>
      <c r="L115" s="13" t="s">
        <v>1443</v>
      </c>
      <c r="M115" s="13"/>
    </row>
    <row r="116" customFormat="false" ht="15" hidden="false" customHeight="false" outlineLevel="0" collapsed="false">
      <c r="A116" s="13" t="s">
        <v>595</v>
      </c>
      <c r="B116" s="13" t="s">
        <v>594</v>
      </c>
      <c r="C116" s="13" t="s">
        <v>1444</v>
      </c>
      <c r="D116" s="13" t="s">
        <v>57</v>
      </c>
      <c r="E116" s="13" t="s">
        <v>660</v>
      </c>
      <c r="F116" s="13" t="s">
        <v>661</v>
      </c>
      <c r="G116" s="61" t="n">
        <v>-109408572601</v>
      </c>
      <c r="H116" s="13" t="s">
        <v>1435</v>
      </c>
      <c r="I116" s="13"/>
      <c r="J116" s="13" t="s">
        <v>1445</v>
      </c>
      <c r="K116" s="13" t="s">
        <v>607</v>
      </c>
      <c r="L116" s="13" t="s">
        <v>1443</v>
      </c>
      <c r="M116" s="13"/>
    </row>
    <row r="117" customFormat="false" ht="15" hidden="false" customHeight="false" outlineLevel="0" collapsed="false">
      <c r="A117" s="13" t="s">
        <v>595</v>
      </c>
      <c r="B117" s="13" t="s">
        <v>594</v>
      </c>
      <c r="C117" s="13" t="s">
        <v>1446</v>
      </c>
      <c r="D117" s="13" t="s">
        <v>57</v>
      </c>
      <c r="E117" s="13" t="s">
        <v>660</v>
      </c>
      <c r="F117" s="13" t="s">
        <v>661</v>
      </c>
      <c r="G117" s="61" t="n">
        <v>-79732226609</v>
      </c>
      <c r="H117" s="13" t="s">
        <v>1435</v>
      </c>
      <c r="I117" s="13"/>
      <c r="J117" s="13" t="s">
        <v>1447</v>
      </c>
      <c r="K117" s="13" t="s">
        <v>608</v>
      </c>
      <c r="L117" s="13" t="s">
        <v>1443</v>
      </c>
      <c r="M117" s="13"/>
    </row>
    <row r="118" customFormat="false" ht="15" hidden="false" customHeight="false" outlineLevel="0" collapsed="false">
      <c r="A118" s="13" t="s">
        <v>595</v>
      </c>
      <c r="B118" s="13" t="s">
        <v>594</v>
      </c>
      <c r="C118" s="13" t="s">
        <v>1448</v>
      </c>
      <c r="D118" s="13" t="s">
        <v>57</v>
      </c>
      <c r="E118" s="13" t="s">
        <v>660</v>
      </c>
      <c r="F118" s="13" t="s">
        <v>661</v>
      </c>
      <c r="G118" s="61" t="n">
        <v>5275826567</v>
      </c>
      <c r="H118" s="13" t="s">
        <v>1435</v>
      </c>
      <c r="I118" s="13"/>
      <c r="J118" s="13" t="s">
        <v>1449</v>
      </c>
      <c r="K118" s="13" t="s">
        <v>609</v>
      </c>
      <c r="L118" s="13" t="s">
        <v>1443</v>
      </c>
      <c r="M118" s="13"/>
    </row>
    <row r="119" customFormat="false" ht="15" hidden="false" customHeight="false" outlineLevel="0" collapsed="false">
      <c r="A119" s="13" t="s">
        <v>595</v>
      </c>
      <c r="B119" s="13" t="s">
        <v>594</v>
      </c>
      <c r="C119" s="13" t="s">
        <v>1434</v>
      </c>
      <c r="D119" s="13" t="s">
        <v>57</v>
      </c>
      <c r="E119" s="13" t="s">
        <v>663</v>
      </c>
      <c r="F119" s="13" t="s">
        <v>664</v>
      </c>
      <c r="G119" s="61" t="n">
        <v>-147311373</v>
      </c>
      <c r="H119" s="13" t="s">
        <v>1435</v>
      </c>
      <c r="I119" s="13"/>
      <c r="J119" s="13" t="s">
        <v>1436</v>
      </c>
      <c r="K119" s="13" t="s">
        <v>1437</v>
      </c>
      <c r="L119" s="13" t="s">
        <v>1438</v>
      </c>
      <c r="M119" s="13"/>
    </row>
    <row r="120" customFormat="false" ht="15" hidden="false" customHeight="false" outlineLevel="0" collapsed="false">
      <c r="A120" s="13" t="s">
        <v>595</v>
      </c>
      <c r="B120" s="13" t="s">
        <v>594</v>
      </c>
      <c r="C120" s="13" t="s">
        <v>1439</v>
      </c>
      <c r="D120" s="13" t="s">
        <v>57</v>
      </c>
      <c r="E120" s="13" t="s">
        <v>663</v>
      </c>
      <c r="F120" s="13" t="s">
        <v>664</v>
      </c>
      <c r="G120" s="61" t="n">
        <v>94096588</v>
      </c>
      <c r="H120" s="13" t="s">
        <v>1435</v>
      </c>
      <c r="I120" s="13"/>
      <c r="J120" s="13" t="s">
        <v>1440</v>
      </c>
      <c r="K120" s="13" t="s">
        <v>1441</v>
      </c>
      <c r="L120" s="13" t="s">
        <v>1438</v>
      </c>
      <c r="M120" s="13"/>
    </row>
    <row r="121" customFormat="false" ht="15" hidden="false" customHeight="false" outlineLevel="0" collapsed="false">
      <c r="A121" s="13" t="s">
        <v>595</v>
      </c>
      <c r="B121" s="13" t="s">
        <v>594</v>
      </c>
      <c r="C121" s="13" t="s">
        <v>1442</v>
      </c>
      <c r="D121" s="13" t="s">
        <v>57</v>
      </c>
      <c r="E121" s="13" t="s">
        <v>663</v>
      </c>
      <c r="F121" s="13" t="s">
        <v>664</v>
      </c>
      <c r="G121" s="61" t="n">
        <v>-32979847</v>
      </c>
      <c r="H121" s="13" t="s">
        <v>1435</v>
      </c>
      <c r="I121" s="13"/>
      <c r="J121" s="13" t="s">
        <v>1440</v>
      </c>
      <c r="K121" s="13" t="s">
        <v>606</v>
      </c>
      <c r="L121" s="13" t="s">
        <v>1443</v>
      </c>
      <c r="M121" s="13"/>
    </row>
    <row r="122" customFormat="false" ht="15" hidden="false" customHeight="false" outlineLevel="0" collapsed="false">
      <c r="A122" s="13" t="s">
        <v>595</v>
      </c>
      <c r="B122" s="13" t="s">
        <v>594</v>
      </c>
      <c r="C122" s="13" t="s">
        <v>1444</v>
      </c>
      <c r="D122" s="13" t="s">
        <v>57</v>
      </c>
      <c r="E122" s="13" t="s">
        <v>663</v>
      </c>
      <c r="F122" s="13" t="s">
        <v>664</v>
      </c>
      <c r="G122" s="61" t="n">
        <v>240778080</v>
      </c>
      <c r="H122" s="13" t="s">
        <v>1435</v>
      </c>
      <c r="I122" s="13"/>
      <c r="J122" s="13" t="s">
        <v>1445</v>
      </c>
      <c r="K122" s="13" t="s">
        <v>607</v>
      </c>
      <c r="L122" s="13" t="s">
        <v>1443</v>
      </c>
      <c r="M122" s="13"/>
    </row>
    <row r="123" customFormat="false" ht="15" hidden="false" customHeight="false" outlineLevel="0" collapsed="false">
      <c r="A123" s="13" t="s">
        <v>595</v>
      </c>
      <c r="B123" s="13" t="s">
        <v>594</v>
      </c>
      <c r="C123" s="13" t="s">
        <v>1446</v>
      </c>
      <c r="D123" s="13" t="s">
        <v>57</v>
      </c>
      <c r="E123" s="13" t="s">
        <v>663</v>
      </c>
      <c r="F123" s="13" t="s">
        <v>664</v>
      </c>
      <c r="G123" s="61" t="n">
        <v>395055336</v>
      </c>
      <c r="H123" s="13" t="s">
        <v>1435</v>
      </c>
      <c r="I123" s="13"/>
      <c r="J123" s="13" t="s">
        <v>1447</v>
      </c>
      <c r="K123" s="13" t="s">
        <v>608</v>
      </c>
      <c r="L123" s="13" t="s">
        <v>1443</v>
      </c>
      <c r="M123" s="13"/>
    </row>
    <row r="124" customFormat="false" ht="15" hidden="false" customHeight="false" outlineLevel="0" collapsed="false">
      <c r="A124" s="13" t="s">
        <v>595</v>
      </c>
      <c r="B124" s="13" t="s">
        <v>594</v>
      </c>
      <c r="C124" s="13" t="s">
        <v>1448</v>
      </c>
      <c r="D124" s="13" t="s">
        <v>57</v>
      </c>
      <c r="E124" s="13" t="s">
        <v>663</v>
      </c>
      <c r="F124" s="13" t="s">
        <v>664</v>
      </c>
      <c r="G124" s="61" t="n">
        <v>192847813</v>
      </c>
      <c r="H124" s="13" t="s">
        <v>1435</v>
      </c>
      <c r="I124" s="13"/>
      <c r="J124" s="13" t="s">
        <v>1449</v>
      </c>
      <c r="K124" s="13" t="s">
        <v>609</v>
      </c>
      <c r="L124" s="13" t="s">
        <v>1443</v>
      </c>
      <c r="M124" s="13"/>
    </row>
    <row r="125" customFormat="false" ht="15" hidden="false" customHeight="false" outlineLevel="0" collapsed="false">
      <c r="A125" s="13" t="s">
        <v>595</v>
      </c>
      <c r="B125" s="13" t="s">
        <v>594</v>
      </c>
      <c r="C125" s="13" t="s">
        <v>1434</v>
      </c>
      <c r="D125" s="13" t="s">
        <v>57</v>
      </c>
      <c r="E125" s="13" t="s">
        <v>666</v>
      </c>
      <c r="F125" s="13" t="s">
        <v>667</v>
      </c>
      <c r="G125" s="109" t="n">
        <v>0.51</v>
      </c>
      <c r="H125" s="13" t="s">
        <v>1435</v>
      </c>
      <c r="I125" s="13"/>
      <c r="J125" s="13" t="s">
        <v>1436</v>
      </c>
      <c r="K125" s="13" t="s">
        <v>1437</v>
      </c>
      <c r="L125" s="13" t="s">
        <v>1438</v>
      </c>
      <c r="M125" s="13"/>
    </row>
    <row r="126" customFormat="false" ht="15" hidden="false" customHeight="false" outlineLevel="0" collapsed="false">
      <c r="A126" s="13" t="s">
        <v>595</v>
      </c>
      <c r="B126" s="13" t="s">
        <v>594</v>
      </c>
      <c r="C126" s="13" t="s">
        <v>1439</v>
      </c>
      <c r="D126" s="13" t="s">
        <v>57</v>
      </c>
      <c r="E126" s="13" t="s">
        <v>666</v>
      </c>
      <c r="F126" s="13" t="s">
        <v>667</v>
      </c>
      <c r="G126" s="109" t="n">
        <v>0.18</v>
      </c>
      <c r="H126" s="13" t="s">
        <v>1435</v>
      </c>
      <c r="I126" s="13"/>
      <c r="J126" s="13" t="s">
        <v>1440</v>
      </c>
      <c r="K126" s="13" t="s">
        <v>1441</v>
      </c>
      <c r="L126" s="13" t="s">
        <v>1438</v>
      </c>
      <c r="M126" s="13"/>
    </row>
    <row r="127" customFormat="false" ht="15" hidden="false" customHeight="false" outlineLevel="0" collapsed="false">
      <c r="A127" s="13" t="s">
        <v>595</v>
      </c>
      <c r="B127" s="13" t="s">
        <v>594</v>
      </c>
      <c r="C127" s="13" t="s">
        <v>1442</v>
      </c>
      <c r="D127" s="13" t="s">
        <v>57</v>
      </c>
      <c r="E127" s="13" t="s">
        <v>666</v>
      </c>
      <c r="F127" s="13" t="s">
        <v>667</v>
      </c>
      <c r="G127" s="109" t="n">
        <v>-2.81</v>
      </c>
      <c r="H127" s="13" t="s">
        <v>1435</v>
      </c>
      <c r="I127" s="13"/>
      <c r="J127" s="13" t="s">
        <v>1440</v>
      </c>
      <c r="K127" s="13" t="s">
        <v>606</v>
      </c>
      <c r="L127" s="13" t="s">
        <v>1443</v>
      </c>
      <c r="M127" s="13"/>
    </row>
    <row r="128" customFormat="false" ht="15" hidden="false" customHeight="false" outlineLevel="0" collapsed="false">
      <c r="A128" s="13" t="s">
        <v>595</v>
      </c>
      <c r="B128" s="13" t="s">
        <v>594</v>
      </c>
      <c r="C128" s="13" t="s">
        <v>1444</v>
      </c>
      <c r="D128" s="13" t="s">
        <v>57</v>
      </c>
      <c r="E128" s="13" t="s">
        <v>666</v>
      </c>
      <c r="F128" s="13" t="s">
        <v>667</v>
      </c>
      <c r="G128" s="109" t="n">
        <v>-3.34</v>
      </c>
      <c r="H128" s="13" t="s">
        <v>1435</v>
      </c>
      <c r="I128" s="13"/>
      <c r="J128" s="13" t="s">
        <v>1445</v>
      </c>
      <c r="K128" s="13" t="s">
        <v>607</v>
      </c>
      <c r="L128" s="13" t="s">
        <v>1443</v>
      </c>
      <c r="M128" s="13"/>
    </row>
    <row r="129" customFormat="false" ht="15" hidden="false" customHeight="false" outlineLevel="0" collapsed="false">
      <c r="A129" s="13" t="s">
        <v>595</v>
      </c>
      <c r="B129" s="13" t="s">
        <v>594</v>
      </c>
      <c r="C129" s="13" t="s">
        <v>1446</v>
      </c>
      <c r="D129" s="13" t="s">
        <v>57</v>
      </c>
      <c r="E129" s="13" t="s">
        <v>666</v>
      </c>
      <c r="F129" s="13" t="s">
        <v>667</v>
      </c>
      <c r="G129" s="109" t="n">
        <v>-2.42</v>
      </c>
      <c r="H129" s="13" t="s">
        <v>1435</v>
      </c>
      <c r="I129" s="13"/>
      <c r="J129" s="13" t="s">
        <v>1447</v>
      </c>
      <c r="K129" s="13" t="s">
        <v>608</v>
      </c>
      <c r="L129" s="13" t="s">
        <v>1443</v>
      </c>
      <c r="M129" s="13"/>
    </row>
    <row r="130" customFormat="false" ht="15" hidden="false" customHeight="false" outlineLevel="0" collapsed="false">
      <c r="A130" s="13" t="s">
        <v>595</v>
      </c>
      <c r="B130" s="13" t="s">
        <v>594</v>
      </c>
      <c r="C130" s="13" t="s">
        <v>1448</v>
      </c>
      <c r="D130" s="13" t="s">
        <v>57</v>
      </c>
      <c r="E130" s="13" t="s">
        <v>666</v>
      </c>
      <c r="F130" s="13" t="s">
        <v>667</v>
      </c>
      <c r="G130" s="109" t="n">
        <v>0.15</v>
      </c>
      <c r="H130" s="13" t="s">
        <v>1435</v>
      </c>
      <c r="I130" s="13"/>
      <c r="J130" s="13" t="s">
        <v>1449</v>
      </c>
      <c r="K130" s="13" t="s">
        <v>609</v>
      </c>
      <c r="L130" s="13" t="s">
        <v>1443</v>
      </c>
      <c r="M130" s="13"/>
    </row>
    <row r="131" customFormat="false" ht="15" hidden="false" customHeight="false" outlineLevel="0" collapsed="false">
      <c r="A131" s="13" t="s">
        <v>595</v>
      </c>
      <c r="B131" s="13" t="s">
        <v>594</v>
      </c>
      <c r="C131" s="13" t="s">
        <v>1434</v>
      </c>
      <c r="D131" s="13" t="s">
        <v>57</v>
      </c>
      <c r="E131" s="13" t="s">
        <v>669</v>
      </c>
      <c r="F131" s="13" t="s">
        <v>670</v>
      </c>
      <c r="G131" s="109" t="n">
        <v>0.51</v>
      </c>
      <c r="H131" s="13" t="s">
        <v>1435</v>
      </c>
      <c r="I131" s="13"/>
      <c r="J131" s="13" t="s">
        <v>1436</v>
      </c>
      <c r="K131" s="13" t="s">
        <v>1437</v>
      </c>
      <c r="L131" s="13" t="s">
        <v>1438</v>
      </c>
      <c r="M131" s="13"/>
    </row>
    <row r="132" customFormat="false" ht="15" hidden="false" customHeight="false" outlineLevel="0" collapsed="false">
      <c r="A132" s="13" t="s">
        <v>595</v>
      </c>
      <c r="B132" s="13" t="s">
        <v>594</v>
      </c>
      <c r="C132" s="13" t="s">
        <v>1439</v>
      </c>
      <c r="D132" s="13" t="s">
        <v>57</v>
      </c>
      <c r="E132" s="13" t="s">
        <v>669</v>
      </c>
      <c r="F132" s="13" t="s">
        <v>670</v>
      </c>
      <c r="G132" s="109" t="n">
        <v>0.18</v>
      </c>
      <c r="H132" s="13" t="s">
        <v>1435</v>
      </c>
      <c r="I132" s="13"/>
      <c r="J132" s="13"/>
      <c r="K132" s="13" t="s">
        <v>1441</v>
      </c>
      <c r="L132" s="13" t="s">
        <v>1438</v>
      </c>
      <c r="M132" s="13"/>
    </row>
    <row r="133" customFormat="false" ht="15" hidden="false" customHeight="false" outlineLevel="0" collapsed="false">
      <c r="A133" s="13" t="s">
        <v>595</v>
      </c>
      <c r="B133" s="13" t="s">
        <v>594</v>
      </c>
      <c r="C133" s="13" t="s">
        <v>1442</v>
      </c>
      <c r="D133" s="13" t="s">
        <v>57</v>
      </c>
      <c r="E133" s="13" t="s">
        <v>669</v>
      </c>
      <c r="F133" s="13" t="s">
        <v>670</v>
      </c>
      <c r="G133" s="109" t="n">
        <v>-2.81</v>
      </c>
      <c r="H133" s="13" t="s">
        <v>1435</v>
      </c>
      <c r="I133" s="13"/>
      <c r="J133" s="13"/>
      <c r="K133" s="13" t="s">
        <v>606</v>
      </c>
      <c r="L133" s="13" t="s">
        <v>1443</v>
      </c>
      <c r="M133" s="13"/>
    </row>
    <row r="134" customFormat="false" ht="15" hidden="false" customHeight="false" outlineLevel="0" collapsed="false">
      <c r="A134" s="13" t="s">
        <v>595</v>
      </c>
      <c r="B134" s="13" t="s">
        <v>594</v>
      </c>
      <c r="C134" s="13" t="s">
        <v>1444</v>
      </c>
      <c r="D134" s="13" t="s">
        <v>57</v>
      </c>
      <c r="E134" s="13" t="s">
        <v>669</v>
      </c>
      <c r="F134" s="13" t="s">
        <v>670</v>
      </c>
      <c r="G134" s="109" t="n">
        <v>-3.34</v>
      </c>
      <c r="H134" s="13" t="s">
        <v>1435</v>
      </c>
      <c r="I134" s="13"/>
      <c r="J134" s="13"/>
      <c r="K134" s="13" t="s">
        <v>607</v>
      </c>
      <c r="L134" s="13" t="s">
        <v>1443</v>
      </c>
      <c r="M134" s="13"/>
    </row>
    <row r="135" customFormat="false" ht="15" hidden="false" customHeight="false" outlineLevel="0" collapsed="false">
      <c r="A135" s="13" t="s">
        <v>595</v>
      </c>
      <c r="B135" s="13" t="s">
        <v>594</v>
      </c>
      <c r="C135" s="13" t="s">
        <v>1446</v>
      </c>
      <c r="D135" s="13" t="s">
        <v>57</v>
      </c>
      <c r="E135" s="13" t="s">
        <v>669</v>
      </c>
      <c r="F135" s="13" t="s">
        <v>670</v>
      </c>
      <c r="G135" s="109" t="n">
        <v>-2.42</v>
      </c>
      <c r="H135" s="13" t="s">
        <v>1435</v>
      </c>
      <c r="I135" s="13"/>
      <c r="J135" s="13"/>
      <c r="K135" s="13" t="s">
        <v>608</v>
      </c>
      <c r="L135" s="13" t="s">
        <v>1443</v>
      </c>
      <c r="M135" s="13"/>
    </row>
    <row r="136" customFormat="false" ht="15" hidden="false" customHeight="false" outlineLevel="0" collapsed="false">
      <c r="A136" s="13" t="s">
        <v>595</v>
      </c>
      <c r="B136" s="13" t="s">
        <v>594</v>
      </c>
      <c r="C136" s="13" t="s">
        <v>1448</v>
      </c>
      <c r="D136" s="13" t="s">
        <v>57</v>
      </c>
      <c r="E136" s="13" t="s">
        <v>669</v>
      </c>
      <c r="F136" s="13" t="s">
        <v>670</v>
      </c>
      <c r="G136" s="109" t="n">
        <v>0.15</v>
      </c>
      <c r="H136" s="13" t="s">
        <v>1435</v>
      </c>
      <c r="I136" s="13"/>
      <c r="J136" s="13"/>
      <c r="K136" s="13" t="s">
        <v>609</v>
      </c>
      <c r="L136" s="13" t="s">
        <v>1443</v>
      </c>
      <c r="M136" s="13"/>
    </row>
    <row r="137" customFormat="false" ht="15" hidden="false" customHeight="false" outlineLevel="0" collapsed="false">
      <c r="A137" s="13" t="s">
        <v>595</v>
      </c>
      <c r="B137" s="13" t="s">
        <v>594</v>
      </c>
      <c r="C137" s="13" t="s">
        <v>1434</v>
      </c>
      <c r="D137" s="13" t="s">
        <v>57</v>
      </c>
      <c r="E137" s="13" t="s">
        <v>673</v>
      </c>
      <c r="F137" s="13" t="s">
        <v>674</v>
      </c>
      <c r="G137" s="61" t="n">
        <v>-1173268664</v>
      </c>
      <c r="H137" s="13" t="s">
        <v>1435</v>
      </c>
      <c r="I137" s="13"/>
      <c r="J137" s="13" t="s">
        <v>1436</v>
      </c>
      <c r="K137" s="13" t="s">
        <v>1437</v>
      </c>
      <c r="L137" s="13" t="s">
        <v>1438</v>
      </c>
      <c r="M137" s="13"/>
    </row>
    <row r="138" customFormat="false" ht="15" hidden="false" customHeight="false" outlineLevel="0" collapsed="false">
      <c r="A138" s="13" t="s">
        <v>595</v>
      </c>
      <c r="B138" s="13" t="s">
        <v>594</v>
      </c>
      <c r="C138" s="13" t="s">
        <v>1439</v>
      </c>
      <c r="D138" s="13" t="s">
        <v>57</v>
      </c>
      <c r="E138" s="13" t="s">
        <v>673</v>
      </c>
      <c r="F138" s="13" t="s">
        <v>674</v>
      </c>
      <c r="G138" s="61" t="n">
        <v>-4712708186</v>
      </c>
      <c r="H138" s="13" t="s">
        <v>1435</v>
      </c>
      <c r="I138" s="13"/>
      <c r="J138" s="13" t="s">
        <v>1440</v>
      </c>
      <c r="K138" s="13" t="s">
        <v>1441</v>
      </c>
      <c r="L138" s="13" t="s">
        <v>1438</v>
      </c>
      <c r="M138" s="13"/>
    </row>
    <row r="139" customFormat="false" ht="15" hidden="false" customHeight="false" outlineLevel="0" collapsed="false">
      <c r="A139" s="13" t="s">
        <v>595</v>
      </c>
      <c r="B139" s="13" t="s">
        <v>594</v>
      </c>
      <c r="C139" s="13" t="s">
        <v>1442</v>
      </c>
      <c r="D139" s="13" t="s">
        <v>57</v>
      </c>
      <c r="E139" s="13" t="s">
        <v>673</v>
      </c>
      <c r="F139" s="13" t="s">
        <v>674</v>
      </c>
      <c r="G139" s="61" t="n">
        <v>-1015824357</v>
      </c>
      <c r="H139" s="13" t="s">
        <v>1435</v>
      </c>
      <c r="I139" s="13"/>
      <c r="J139" s="13" t="s">
        <v>1440</v>
      </c>
      <c r="K139" s="13" t="s">
        <v>606</v>
      </c>
      <c r="L139" s="13" t="s">
        <v>1443</v>
      </c>
      <c r="M139" s="13"/>
    </row>
    <row r="140" customFormat="false" ht="15" hidden="false" customHeight="false" outlineLevel="0" collapsed="false">
      <c r="A140" s="13" t="s">
        <v>595</v>
      </c>
      <c r="B140" s="13" t="s">
        <v>594</v>
      </c>
      <c r="C140" s="13" t="s">
        <v>1444</v>
      </c>
      <c r="D140" s="13" t="s">
        <v>57</v>
      </c>
      <c r="E140" s="13" t="s">
        <v>673</v>
      </c>
      <c r="F140" s="13" t="s">
        <v>674</v>
      </c>
      <c r="G140" s="61" t="n">
        <v>-3947518609</v>
      </c>
      <c r="H140" s="13" t="s">
        <v>1435</v>
      </c>
      <c r="I140" s="13"/>
      <c r="J140" s="13" t="s">
        <v>1445</v>
      </c>
      <c r="K140" s="13" t="s">
        <v>607</v>
      </c>
      <c r="L140" s="13" t="s">
        <v>1443</v>
      </c>
      <c r="M140" s="13"/>
    </row>
    <row r="141" customFormat="false" ht="15" hidden="false" customHeight="false" outlineLevel="0" collapsed="false">
      <c r="A141" s="13" t="s">
        <v>595</v>
      </c>
      <c r="B141" s="13" t="s">
        <v>594</v>
      </c>
      <c r="C141" s="13" t="s">
        <v>1446</v>
      </c>
      <c r="D141" s="13" t="s">
        <v>57</v>
      </c>
      <c r="E141" s="13" t="s">
        <v>673</v>
      </c>
      <c r="F141" s="13" t="s">
        <v>674</v>
      </c>
      <c r="G141" s="61" t="n">
        <v>-4906863060</v>
      </c>
      <c r="H141" s="13" t="s">
        <v>1435</v>
      </c>
      <c r="I141" s="13"/>
      <c r="J141" s="13" t="s">
        <v>1447</v>
      </c>
      <c r="K141" s="13" t="s">
        <v>608</v>
      </c>
      <c r="L141" s="13" t="s">
        <v>1443</v>
      </c>
      <c r="M141" s="13"/>
    </row>
    <row r="142" customFormat="false" ht="15" hidden="false" customHeight="false" outlineLevel="0" collapsed="false">
      <c r="A142" s="13" t="s">
        <v>595</v>
      </c>
      <c r="B142" s="13" t="s">
        <v>594</v>
      </c>
      <c r="C142" s="13" t="s">
        <v>1448</v>
      </c>
      <c r="D142" s="13" t="s">
        <v>57</v>
      </c>
      <c r="E142" s="13" t="s">
        <v>673</v>
      </c>
      <c r="F142" s="13" t="s">
        <v>674</v>
      </c>
      <c r="G142" s="61" t="n">
        <v>-3588173160</v>
      </c>
      <c r="H142" s="13" t="s">
        <v>1435</v>
      </c>
      <c r="I142" s="13"/>
      <c r="J142" s="13" t="s">
        <v>1449</v>
      </c>
      <c r="K142" s="13" t="s">
        <v>609</v>
      </c>
      <c r="L142" s="13" t="s">
        <v>1443</v>
      </c>
      <c r="M142" s="13"/>
    </row>
    <row r="143" customFormat="false" ht="15" hidden="false" customHeight="false" outlineLevel="0" collapsed="false">
      <c r="A143" s="13" t="s">
        <v>595</v>
      </c>
      <c r="B143" s="13" t="s">
        <v>594</v>
      </c>
      <c r="C143" s="13" t="s">
        <v>1434</v>
      </c>
      <c r="D143" s="13" t="s">
        <v>57</v>
      </c>
      <c r="E143" s="13" t="s">
        <v>676</v>
      </c>
      <c r="F143" s="13" t="s">
        <v>677</v>
      </c>
      <c r="G143" s="61" t="n">
        <v>1548412188</v>
      </c>
      <c r="H143" s="13" t="s">
        <v>1435</v>
      </c>
      <c r="I143" s="13"/>
      <c r="J143" s="13" t="s">
        <v>1436</v>
      </c>
      <c r="K143" s="13" t="s">
        <v>1437</v>
      </c>
      <c r="L143" s="13" t="s">
        <v>1438</v>
      </c>
      <c r="M143" s="13"/>
    </row>
    <row r="144" customFormat="false" ht="15" hidden="false" customHeight="false" outlineLevel="0" collapsed="false">
      <c r="A144" s="13" t="s">
        <v>595</v>
      </c>
      <c r="B144" s="13" t="s">
        <v>594</v>
      </c>
      <c r="C144" s="13" t="s">
        <v>1439</v>
      </c>
      <c r="D144" s="13" t="s">
        <v>57</v>
      </c>
      <c r="E144" s="13" t="s">
        <v>676</v>
      </c>
      <c r="F144" s="13" t="s">
        <v>677</v>
      </c>
      <c r="G144" s="61" t="n">
        <v>4379794109</v>
      </c>
      <c r="H144" s="13" t="s">
        <v>1435</v>
      </c>
      <c r="I144" s="13"/>
      <c r="J144" s="13" t="s">
        <v>1440</v>
      </c>
      <c r="K144" s="13" t="s">
        <v>1441</v>
      </c>
      <c r="L144" s="13" t="s">
        <v>1438</v>
      </c>
      <c r="M144" s="13"/>
    </row>
    <row r="145" customFormat="false" ht="15" hidden="false" customHeight="false" outlineLevel="0" collapsed="false">
      <c r="A145" s="13" t="s">
        <v>595</v>
      </c>
      <c r="B145" s="13" t="s">
        <v>594</v>
      </c>
      <c r="C145" s="13" t="s">
        <v>1442</v>
      </c>
      <c r="D145" s="13" t="s">
        <v>57</v>
      </c>
      <c r="E145" s="13" t="s">
        <v>676</v>
      </c>
      <c r="F145" s="13" t="s">
        <v>677</v>
      </c>
      <c r="G145" s="61" t="n">
        <v>727360971</v>
      </c>
      <c r="H145" s="13" t="s">
        <v>1435</v>
      </c>
      <c r="I145" s="13"/>
      <c r="J145" s="13" t="s">
        <v>1440</v>
      </c>
      <c r="K145" s="13" t="s">
        <v>606</v>
      </c>
      <c r="L145" s="13" t="s">
        <v>1443</v>
      </c>
      <c r="M145" s="13"/>
    </row>
    <row r="146" customFormat="false" ht="15" hidden="false" customHeight="false" outlineLevel="0" collapsed="false">
      <c r="A146" s="13" t="s">
        <v>595</v>
      </c>
      <c r="B146" s="13" t="s">
        <v>594</v>
      </c>
      <c r="C146" s="13" t="s">
        <v>1444</v>
      </c>
      <c r="D146" s="13" t="s">
        <v>57</v>
      </c>
      <c r="E146" s="13" t="s">
        <v>676</v>
      </c>
      <c r="F146" s="13" t="s">
        <v>677</v>
      </c>
      <c r="G146" s="61" t="n">
        <v>-618503500</v>
      </c>
      <c r="H146" s="13" t="s">
        <v>1435</v>
      </c>
      <c r="I146" s="13"/>
      <c r="J146" s="13" t="s">
        <v>1445</v>
      </c>
      <c r="K146" s="13" t="s">
        <v>607</v>
      </c>
      <c r="L146" s="13" t="s">
        <v>1443</v>
      </c>
      <c r="M146" s="13"/>
    </row>
    <row r="147" customFormat="false" ht="15" hidden="false" customHeight="false" outlineLevel="0" collapsed="false">
      <c r="A147" s="13" t="s">
        <v>595</v>
      </c>
      <c r="B147" s="13" t="s">
        <v>594</v>
      </c>
      <c r="C147" s="13" t="s">
        <v>1446</v>
      </c>
      <c r="D147" s="13" t="s">
        <v>57</v>
      </c>
      <c r="E147" s="13" t="s">
        <v>676</v>
      </c>
      <c r="F147" s="13" t="s">
        <v>677</v>
      </c>
      <c r="G147" s="61" t="n">
        <v>753701057</v>
      </c>
      <c r="H147" s="13" t="s">
        <v>1435</v>
      </c>
      <c r="I147" s="13"/>
      <c r="J147" s="13" t="s">
        <v>1447</v>
      </c>
      <c r="K147" s="13" t="s">
        <v>608</v>
      </c>
      <c r="L147" s="13" t="s">
        <v>1443</v>
      </c>
      <c r="M147" s="13"/>
    </row>
    <row r="148" customFormat="false" ht="15" hidden="false" customHeight="false" outlineLevel="0" collapsed="false">
      <c r="A148" s="13" t="s">
        <v>595</v>
      </c>
      <c r="B148" s="13" t="s">
        <v>594</v>
      </c>
      <c r="C148" s="13" t="s">
        <v>1448</v>
      </c>
      <c r="D148" s="13" t="s">
        <v>57</v>
      </c>
      <c r="E148" s="13" t="s">
        <v>676</v>
      </c>
      <c r="F148" s="13" t="s">
        <v>677</v>
      </c>
      <c r="G148" s="61" t="n">
        <v>662404128</v>
      </c>
      <c r="H148" s="13" t="s">
        <v>1435</v>
      </c>
      <c r="I148" s="13"/>
      <c r="J148" s="13" t="s">
        <v>1449</v>
      </c>
      <c r="K148" s="13" t="s">
        <v>609</v>
      </c>
      <c r="L148" s="13" t="s">
        <v>1443</v>
      </c>
      <c r="M148" s="13"/>
    </row>
    <row r="149" customFormat="false" ht="15" hidden="false" customHeight="false" outlineLevel="0" collapsed="false">
      <c r="A149" s="13" t="s">
        <v>595</v>
      </c>
      <c r="B149" s="13" t="s">
        <v>594</v>
      </c>
      <c r="C149" s="13" t="s">
        <v>1434</v>
      </c>
      <c r="D149" s="13" t="s">
        <v>57</v>
      </c>
      <c r="E149" s="13" t="s">
        <v>680</v>
      </c>
      <c r="F149" s="13" t="s">
        <v>681</v>
      </c>
      <c r="G149" s="61" t="n">
        <v>102891453436</v>
      </c>
      <c r="H149" s="13" t="s">
        <v>1435</v>
      </c>
      <c r="I149" s="13"/>
      <c r="J149" s="13" t="s">
        <v>1436</v>
      </c>
      <c r="K149" s="13" t="s">
        <v>1437</v>
      </c>
      <c r="L149" s="13" t="s">
        <v>1438</v>
      </c>
      <c r="M149" s="13"/>
    </row>
    <row r="150" customFormat="false" ht="15" hidden="false" customHeight="false" outlineLevel="0" collapsed="false">
      <c r="A150" s="13" t="s">
        <v>595</v>
      </c>
      <c r="B150" s="13" t="s">
        <v>594</v>
      </c>
      <c r="C150" s="13" t="s">
        <v>1439</v>
      </c>
      <c r="D150" s="13" t="s">
        <v>57</v>
      </c>
      <c r="E150" s="13" t="s">
        <v>680</v>
      </c>
      <c r="F150" s="13" t="s">
        <v>681</v>
      </c>
      <c r="G150" s="61" t="n">
        <v>145933919448</v>
      </c>
      <c r="H150" s="13" t="s">
        <v>1435</v>
      </c>
      <c r="I150" s="13"/>
      <c r="J150" s="13" t="s">
        <v>1440</v>
      </c>
      <c r="K150" s="13" t="s">
        <v>1441</v>
      </c>
      <c r="L150" s="13" t="s">
        <v>1438</v>
      </c>
      <c r="M150" s="13"/>
    </row>
    <row r="151" customFormat="false" ht="15" hidden="false" customHeight="false" outlineLevel="0" collapsed="false">
      <c r="A151" s="13" t="s">
        <v>595</v>
      </c>
      <c r="B151" s="13" t="s">
        <v>594</v>
      </c>
      <c r="C151" s="13" t="s">
        <v>1442</v>
      </c>
      <c r="D151" s="13" t="s">
        <v>57</v>
      </c>
      <c r="E151" s="13" t="s">
        <v>680</v>
      </c>
      <c r="F151" s="13" t="s">
        <v>681</v>
      </c>
      <c r="G151" s="61" t="n">
        <v>96232265566</v>
      </c>
      <c r="H151" s="13" t="s">
        <v>1435</v>
      </c>
      <c r="I151" s="13"/>
      <c r="J151" s="13" t="s">
        <v>1440</v>
      </c>
      <c r="K151" s="13" t="s">
        <v>606</v>
      </c>
      <c r="L151" s="13" t="s">
        <v>1443</v>
      </c>
      <c r="M151" s="13"/>
    </row>
    <row r="152" customFormat="false" ht="15" hidden="false" customHeight="false" outlineLevel="0" collapsed="false">
      <c r="A152" s="13" t="s">
        <v>595</v>
      </c>
      <c r="B152" s="13" t="s">
        <v>594</v>
      </c>
      <c r="C152" s="13" t="s">
        <v>1444</v>
      </c>
      <c r="D152" s="13" t="s">
        <v>57</v>
      </c>
      <c r="E152" s="13" t="s">
        <v>680</v>
      </c>
      <c r="F152" s="13" t="s">
        <v>681</v>
      </c>
      <c r="G152" s="61" t="n">
        <v>89654268942</v>
      </c>
      <c r="H152" s="13" t="s">
        <v>1435</v>
      </c>
      <c r="I152" s="13"/>
      <c r="J152" s="13" t="s">
        <v>1445</v>
      </c>
      <c r="K152" s="13" t="s">
        <v>607</v>
      </c>
      <c r="L152" s="13" t="s">
        <v>1443</v>
      </c>
      <c r="M152" s="13"/>
    </row>
    <row r="153" customFormat="false" ht="15" hidden="false" customHeight="false" outlineLevel="0" collapsed="false">
      <c r="A153" s="13" t="s">
        <v>595</v>
      </c>
      <c r="B153" s="13" t="s">
        <v>594</v>
      </c>
      <c r="C153" s="13" t="s">
        <v>1446</v>
      </c>
      <c r="D153" s="13" t="s">
        <v>57</v>
      </c>
      <c r="E153" s="13" t="s">
        <v>680</v>
      </c>
      <c r="F153" s="13" t="s">
        <v>681</v>
      </c>
      <c r="G153" s="61" t="n">
        <v>104587714159</v>
      </c>
      <c r="H153" s="13" t="s">
        <v>1435</v>
      </c>
      <c r="I153" s="13"/>
      <c r="J153" s="13" t="s">
        <v>1447</v>
      </c>
      <c r="K153" s="13" t="s">
        <v>608</v>
      </c>
      <c r="L153" s="13" t="s">
        <v>1443</v>
      </c>
      <c r="M153" s="13"/>
    </row>
    <row r="154" customFormat="false" ht="15" hidden="false" customHeight="false" outlineLevel="0" collapsed="false">
      <c r="A154" s="13" t="s">
        <v>595</v>
      </c>
      <c r="B154" s="13" t="s">
        <v>594</v>
      </c>
      <c r="C154" s="13" t="s">
        <v>1448</v>
      </c>
      <c r="D154" s="13" t="s">
        <v>57</v>
      </c>
      <c r="E154" s="13" t="s">
        <v>680</v>
      </c>
      <c r="F154" s="13" t="s">
        <v>681</v>
      </c>
      <c r="G154" s="61" t="n">
        <v>215157588939</v>
      </c>
      <c r="H154" s="13" t="s">
        <v>1435</v>
      </c>
      <c r="I154" s="13"/>
      <c r="J154" s="13" t="s">
        <v>1449</v>
      </c>
      <c r="K154" s="13" t="s">
        <v>609</v>
      </c>
      <c r="L154" s="13" t="s">
        <v>1443</v>
      </c>
      <c r="M154" s="13"/>
    </row>
    <row r="155" customFormat="false" ht="15" hidden="false" customHeight="false" outlineLevel="0" collapsed="false">
      <c r="A155" s="13" t="s">
        <v>595</v>
      </c>
      <c r="B155" s="13" t="s">
        <v>594</v>
      </c>
      <c r="C155" s="13" t="s">
        <v>1434</v>
      </c>
      <c r="D155" s="13" t="s">
        <v>57</v>
      </c>
      <c r="E155" s="13" t="s">
        <v>683</v>
      </c>
      <c r="F155" s="13" t="s">
        <v>684</v>
      </c>
      <c r="G155" s="61" t="n">
        <v>-15517181073</v>
      </c>
      <c r="H155" s="13" t="s">
        <v>1435</v>
      </c>
      <c r="I155" s="13"/>
      <c r="J155" s="13" t="s">
        <v>1436</v>
      </c>
      <c r="K155" s="13" t="s">
        <v>1437</v>
      </c>
      <c r="L155" s="13" t="s">
        <v>1438</v>
      </c>
      <c r="M155" s="13"/>
    </row>
    <row r="156" customFormat="false" ht="15" hidden="false" customHeight="false" outlineLevel="0" collapsed="false">
      <c r="A156" s="13" t="s">
        <v>595</v>
      </c>
      <c r="B156" s="13" t="s">
        <v>594</v>
      </c>
      <c r="C156" s="13" t="s">
        <v>1439</v>
      </c>
      <c r="D156" s="13" t="s">
        <v>57</v>
      </c>
      <c r="E156" s="13" t="s">
        <v>683</v>
      </c>
      <c r="F156" s="13" t="s">
        <v>684</v>
      </c>
      <c r="G156" s="61" t="n">
        <v>14097957167</v>
      </c>
      <c r="H156" s="13" t="s">
        <v>1435</v>
      </c>
      <c r="I156" s="13"/>
      <c r="J156" s="13" t="s">
        <v>1440</v>
      </c>
      <c r="K156" s="13" t="s">
        <v>1441</v>
      </c>
      <c r="L156" s="13" t="s">
        <v>1438</v>
      </c>
      <c r="M156" s="13"/>
    </row>
    <row r="157" customFormat="false" ht="15" hidden="false" customHeight="false" outlineLevel="0" collapsed="false">
      <c r="A157" s="13" t="s">
        <v>595</v>
      </c>
      <c r="B157" s="13" t="s">
        <v>594</v>
      </c>
      <c r="C157" s="13" t="s">
        <v>1442</v>
      </c>
      <c r="D157" s="13" t="s">
        <v>57</v>
      </c>
      <c r="E157" s="13" t="s">
        <v>683</v>
      </c>
      <c r="F157" s="13" t="s">
        <v>684</v>
      </c>
      <c r="G157" s="61" t="n">
        <v>-60591381867</v>
      </c>
      <c r="H157" s="13" t="s">
        <v>1435</v>
      </c>
      <c r="I157" s="13"/>
      <c r="J157" s="13" t="s">
        <v>1440</v>
      </c>
      <c r="K157" s="13" t="s">
        <v>606</v>
      </c>
      <c r="L157" s="13" t="s">
        <v>1443</v>
      </c>
      <c r="M157" s="13"/>
    </row>
    <row r="158" customFormat="false" ht="15" hidden="false" customHeight="false" outlineLevel="0" collapsed="false">
      <c r="A158" s="13" t="s">
        <v>595</v>
      </c>
      <c r="B158" s="13" t="s">
        <v>594</v>
      </c>
      <c r="C158" s="13" t="s">
        <v>1444</v>
      </c>
      <c r="D158" s="13" t="s">
        <v>57</v>
      </c>
      <c r="E158" s="13" t="s">
        <v>683</v>
      </c>
      <c r="F158" s="13" t="s">
        <v>684</v>
      </c>
      <c r="G158" s="61" t="n">
        <v>-36138783500</v>
      </c>
      <c r="H158" s="13" t="s">
        <v>1435</v>
      </c>
      <c r="I158" s="13"/>
      <c r="J158" s="13" t="s">
        <v>1445</v>
      </c>
      <c r="K158" s="13" t="s">
        <v>607</v>
      </c>
      <c r="L158" s="13" t="s">
        <v>1443</v>
      </c>
      <c r="M158" s="13"/>
    </row>
    <row r="159" customFormat="false" ht="15" hidden="false" customHeight="false" outlineLevel="0" collapsed="false">
      <c r="A159" s="13" t="s">
        <v>595</v>
      </c>
      <c r="B159" s="13" t="s">
        <v>594</v>
      </c>
      <c r="C159" s="13" t="s">
        <v>1446</v>
      </c>
      <c r="D159" s="13" t="s">
        <v>57</v>
      </c>
      <c r="E159" s="13" t="s">
        <v>683</v>
      </c>
      <c r="F159" s="13" t="s">
        <v>684</v>
      </c>
      <c r="G159" s="61" t="n">
        <v>-29927626610</v>
      </c>
      <c r="H159" s="13" t="s">
        <v>1435</v>
      </c>
      <c r="I159" s="13"/>
      <c r="J159" s="13" t="s">
        <v>1447</v>
      </c>
      <c r="K159" s="13" t="s">
        <v>608</v>
      </c>
      <c r="L159" s="13" t="s">
        <v>1443</v>
      </c>
      <c r="M159" s="13"/>
    </row>
    <row r="160" customFormat="false" ht="15" hidden="false" customHeight="false" outlineLevel="0" collapsed="false">
      <c r="A160" s="13" t="s">
        <v>595</v>
      </c>
      <c r="B160" s="13" t="s">
        <v>594</v>
      </c>
      <c r="C160" s="13" t="s">
        <v>1448</v>
      </c>
      <c r="D160" s="13" t="s">
        <v>57</v>
      </c>
      <c r="E160" s="13" t="s">
        <v>683</v>
      </c>
      <c r="F160" s="13" t="s">
        <v>684</v>
      </c>
      <c r="G160" s="61" t="n">
        <v>70015871454</v>
      </c>
      <c r="H160" s="13" t="s">
        <v>1435</v>
      </c>
      <c r="I160" s="13"/>
      <c r="J160" s="13" t="s">
        <v>1449</v>
      </c>
      <c r="K160" s="13" t="s">
        <v>609</v>
      </c>
      <c r="L160" s="13" t="s">
        <v>1443</v>
      </c>
      <c r="M160" s="13"/>
    </row>
    <row r="161" customFormat="false" ht="15" hidden="false" customHeight="false" outlineLevel="0" collapsed="false">
      <c r="A161" s="13" t="s">
        <v>595</v>
      </c>
      <c r="B161" s="13" t="s">
        <v>594</v>
      </c>
      <c r="C161" s="13" t="s">
        <v>1434</v>
      </c>
      <c r="D161" s="13" t="s">
        <v>57</v>
      </c>
      <c r="E161" s="13" t="s">
        <v>686</v>
      </c>
      <c r="F161" s="13" t="s">
        <v>687</v>
      </c>
      <c r="G161" s="61" t="n">
        <v>13792807612</v>
      </c>
      <c r="H161" s="13" t="s">
        <v>1435</v>
      </c>
      <c r="I161" s="13"/>
      <c r="J161" s="13" t="s">
        <v>1436</v>
      </c>
      <c r="K161" s="13" t="s">
        <v>1437</v>
      </c>
      <c r="L161" s="13" t="s">
        <v>1438</v>
      </c>
      <c r="M161" s="13"/>
    </row>
    <row r="162" customFormat="false" ht="15" hidden="false" customHeight="false" outlineLevel="0" collapsed="false">
      <c r="A162" s="13" t="s">
        <v>595</v>
      </c>
      <c r="B162" s="13" t="s">
        <v>594</v>
      </c>
      <c r="C162" s="13" t="s">
        <v>1439</v>
      </c>
      <c r="D162" s="13" t="s">
        <v>57</v>
      </c>
      <c r="E162" s="13" t="s">
        <v>686</v>
      </c>
      <c r="F162" s="13" t="s">
        <v>687</v>
      </c>
      <c r="G162" s="61" t="n">
        <v>6506538854</v>
      </c>
      <c r="H162" s="13" t="s">
        <v>1435</v>
      </c>
      <c r="I162" s="13"/>
      <c r="J162" s="13" t="s">
        <v>1440</v>
      </c>
      <c r="K162" s="13" t="s">
        <v>1441</v>
      </c>
      <c r="L162" s="13" t="s">
        <v>1438</v>
      </c>
      <c r="M162" s="13"/>
    </row>
    <row r="163" customFormat="false" ht="15" hidden="false" customHeight="false" outlineLevel="0" collapsed="false">
      <c r="A163" s="13" t="s">
        <v>595</v>
      </c>
      <c r="B163" s="13" t="s">
        <v>594</v>
      </c>
      <c r="C163" s="13" t="s">
        <v>1442</v>
      </c>
      <c r="D163" s="13" t="s">
        <v>57</v>
      </c>
      <c r="E163" s="13" t="s">
        <v>686</v>
      </c>
      <c r="F163" s="13" t="s">
        <v>687</v>
      </c>
      <c r="G163" s="61" t="n">
        <v>-93315958920</v>
      </c>
      <c r="H163" s="13" t="s">
        <v>1435</v>
      </c>
      <c r="I163" s="13"/>
      <c r="J163" s="13" t="s">
        <v>1440</v>
      </c>
      <c r="K163" s="13" t="s">
        <v>606</v>
      </c>
      <c r="L163" s="13" t="s">
        <v>1443</v>
      </c>
      <c r="M163" s="13"/>
    </row>
    <row r="164" customFormat="false" ht="15" hidden="false" customHeight="false" outlineLevel="0" collapsed="false">
      <c r="A164" s="13" t="s">
        <v>595</v>
      </c>
      <c r="B164" s="13" t="s">
        <v>594</v>
      </c>
      <c r="C164" s="13" t="s">
        <v>1444</v>
      </c>
      <c r="D164" s="13" t="s">
        <v>57</v>
      </c>
      <c r="E164" s="13" t="s">
        <v>686</v>
      </c>
      <c r="F164" s="13" t="s">
        <v>687</v>
      </c>
      <c r="G164" s="61" t="n">
        <v>-106122839786</v>
      </c>
      <c r="H164" s="13" t="s">
        <v>1435</v>
      </c>
      <c r="I164" s="13"/>
      <c r="J164" s="13" t="s">
        <v>1445</v>
      </c>
      <c r="K164" s="13" t="s">
        <v>607</v>
      </c>
      <c r="L164" s="13" t="s">
        <v>1443</v>
      </c>
      <c r="M164" s="13"/>
    </row>
    <row r="165" customFormat="false" ht="15" hidden="false" customHeight="false" outlineLevel="0" collapsed="false">
      <c r="A165" s="13" t="s">
        <v>595</v>
      </c>
      <c r="B165" s="13" t="s">
        <v>594</v>
      </c>
      <c r="C165" s="13" t="s">
        <v>1446</v>
      </c>
      <c r="D165" s="13" t="s">
        <v>57</v>
      </c>
      <c r="E165" s="13" t="s">
        <v>686</v>
      </c>
      <c r="F165" s="13" t="s">
        <v>687</v>
      </c>
      <c r="G165" s="61" t="n">
        <v>-75764058101</v>
      </c>
      <c r="H165" s="13" t="s">
        <v>1435</v>
      </c>
      <c r="I165" s="13"/>
      <c r="J165" s="13" t="s">
        <v>1447</v>
      </c>
      <c r="K165" s="13" t="s">
        <v>608</v>
      </c>
      <c r="L165" s="13" t="s">
        <v>1443</v>
      </c>
      <c r="M165" s="13"/>
    </row>
    <row r="166" customFormat="false" ht="15" hidden="false" customHeight="false" outlineLevel="0" collapsed="false">
      <c r="A166" s="13" t="s">
        <v>595</v>
      </c>
      <c r="B166" s="13" t="s">
        <v>594</v>
      </c>
      <c r="C166" s="13" t="s">
        <v>1448</v>
      </c>
      <c r="D166" s="13" t="s">
        <v>57</v>
      </c>
      <c r="E166" s="13" t="s">
        <v>686</v>
      </c>
      <c r="F166" s="13" t="s">
        <v>687</v>
      </c>
      <c r="G166" s="61" t="n">
        <v>8071335153</v>
      </c>
      <c r="H166" s="13" t="s">
        <v>1435</v>
      </c>
      <c r="I166" s="13"/>
      <c r="J166" s="13" t="s">
        <v>1449</v>
      </c>
      <c r="K166" s="13" t="s">
        <v>609</v>
      </c>
      <c r="L166" s="13" t="s">
        <v>1443</v>
      </c>
      <c r="M166" s="13"/>
    </row>
    <row r="167" customFormat="false" ht="15" hidden="false" customHeight="false" outlineLevel="0" collapsed="false">
      <c r="A167" s="13" t="s">
        <v>595</v>
      </c>
      <c r="B167" s="13" t="s">
        <v>594</v>
      </c>
      <c r="C167" s="13" t="s">
        <v>1434</v>
      </c>
      <c r="D167" s="13" t="s">
        <v>57</v>
      </c>
      <c r="E167" s="13" t="s">
        <v>689</v>
      </c>
      <c r="F167" s="13" t="s">
        <v>690</v>
      </c>
      <c r="G167" s="61" t="n">
        <v>14167951136</v>
      </c>
      <c r="H167" s="13" t="s">
        <v>1435</v>
      </c>
      <c r="I167" s="13"/>
      <c r="J167" s="13" t="s">
        <v>1436</v>
      </c>
      <c r="K167" s="13" t="s">
        <v>1437</v>
      </c>
      <c r="L167" s="13" t="s">
        <v>1438</v>
      </c>
      <c r="M167" s="13"/>
    </row>
    <row r="168" customFormat="false" ht="15" hidden="false" customHeight="false" outlineLevel="0" collapsed="false">
      <c r="A168" s="13" t="s">
        <v>595</v>
      </c>
      <c r="B168" s="13" t="s">
        <v>594</v>
      </c>
      <c r="C168" s="13" t="s">
        <v>1439</v>
      </c>
      <c r="D168" s="13" t="s">
        <v>57</v>
      </c>
      <c r="E168" s="13" t="s">
        <v>689</v>
      </c>
      <c r="F168" s="13" t="s">
        <v>690</v>
      </c>
      <c r="G168" s="61" t="n">
        <v>6173624777</v>
      </c>
      <c r="H168" s="13" t="s">
        <v>1435</v>
      </c>
      <c r="I168" s="13"/>
      <c r="J168" s="13" t="s">
        <v>1440</v>
      </c>
      <c r="K168" s="13" t="s">
        <v>1441</v>
      </c>
      <c r="L168" s="13" t="s">
        <v>1438</v>
      </c>
      <c r="M168" s="13"/>
    </row>
    <row r="169" customFormat="false" ht="15" hidden="false" customHeight="false" outlineLevel="0" collapsed="false">
      <c r="A169" s="13" t="s">
        <v>595</v>
      </c>
      <c r="B169" s="13" t="s">
        <v>594</v>
      </c>
      <c r="C169" s="13" t="s">
        <v>1442</v>
      </c>
      <c r="D169" s="13" t="s">
        <v>57</v>
      </c>
      <c r="E169" s="13" t="s">
        <v>689</v>
      </c>
      <c r="F169" s="13" t="s">
        <v>690</v>
      </c>
      <c r="G169" s="61" t="n">
        <v>-93604422306</v>
      </c>
      <c r="H169" s="13" t="s">
        <v>1435</v>
      </c>
      <c r="I169" s="13"/>
      <c r="J169" s="13" t="s">
        <v>1440</v>
      </c>
      <c r="K169" s="13" t="s">
        <v>606</v>
      </c>
      <c r="L169" s="13" t="s">
        <v>1443</v>
      </c>
      <c r="M169" s="13"/>
    </row>
    <row r="170" customFormat="false" ht="15" hidden="false" customHeight="false" outlineLevel="0" collapsed="false">
      <c r="A170" s="13" t="s">
        <v>595</v>
      </c>
      <c r="B170" s="13" t="s">
        <v>594</v>
      </c>
      <c r="C170" s="13" t="s">
        <v>1444</v>
      </c>
      <c r="D170" s="13" t="s">
        <v>57</v>
      </c>
      <c r="E170" s="13" t="s">
        <v>689</v>
      </c>
      <c r="F170" s="13" t="s">
        <v>690</v>
      </c>
      <c r="G170" s="61" t="n">
        <v>-110688861895</v>
      </c>
      <c r="H170" s="13" t="s">
        <v>1435</v>
      </c>
      <c r="I170" s="13"/>
      <c r="J170" s="13" t="s">
        <v>1445</v>
      </c>
      <c r="K170" s="13" t="s">
        <v>607</v>
      </c>
      <c r="L170" s="13" t="s">
        <v>1443</v>
      </c>
      <c r="M170" s="13"/>
    </row>
    <row r="171" customFormat="false" ht="15" hidden="false" customHeight="false" outlineLevel="0" collapsed="false">
      <c r="A171" s="13" t="s">
        <v>595</v>
      </c>
      <c r="B171" s="13" t="s">
        <v>594</v>
      </c>
      <c r="C171" s="13" t="s">
        <v>1446</v>
      </c>
      <c r="D171" s="13" t="s">
        <v>57</v>
      </c>
      <c r="E171" s="13" t="s">
        <v>689</v>
      </c>
      <c r="F171" s="13" t="s">
        <v>690</v>
      </c>
      <c r="G171" s="61" t="n">
        <v>-79917220104</v>
      </c>
      <c r="H171" s="13" t="s">
        <v>1435</v>
      </c>
      <c r="I171" s="13"/>
      <c r="J171" s="13" t="s">
        <v>1447</v>
      </c>
      <c r="K171" s="13" t="s">
        <v>608</v>
      </c>
      <c r="L171" s="13" t="s">
        <v>1443</v>
      </c>
      <c r="M171" s="13"/>
    </row>
    <row r="172" customFormat="false" ht="15" hidden="false" customHeight="false" outlineLevel="0" collapsed="false">
      <c r="A172" s="13" t="s">
        <v>595</v>
      </c>
      <c r="B172" s="13" t="s">
        <v>594</v>
      </c>
      <c r="C172" s="13" t="s">
        <v>1448</v>
      </c>
      <c r="D172" s="13" t="s">
        <v>57</v>
      </c>
      <c r="E172" s="13" t="s">
        <v>689</v>
      </c>
      <c r="F172" s="13" t="s">
        <v>690</v>
      </c>
      <c r="G172" s="61" t="n">
        <v>5145566121</v>
      </c>
      <c r="H172" s="13" t="s">
        <v>1435</v>
      </c>
      <c r="I172" s="13"/>
      <c r="J172" s="13" t="s">
        <v>1449</v>
      </c>
      <c r="K172" s="13" t="s">
        <v>609</v>
      </c>
      <c r="L172" s="13" t="s">
        <v>1443</v>
      </c>
      <c r="M172" s="13"/>
    </row>
    <row r="173" customFormat="false" ht="15" hidden="false" customHeight="false" outlineLevel="0" collapsed="false">
      <c r="A173" s="13" t="s">
        <v>595</v>
      </c>
      <c r="B173" s="13" t="s">
        <v>594</v>
      </c>
      <c r="C173" s="13" t="s">
        <v>1434</v>
      </c>
      <c r="D173" s="13" t="s">
        <v>57</v>
      </c>
      <c r="E173" s="13" t="s">
        <v>692</v>
      </c>
      <c r="F173" s="13" t="s">
        <v>693</v>
      </c>
      <c r="G173" s="61" t="n">
        <v>165817157</v>
      </c>
      <c r="H173" s="13" t="s">
        <v>1435</v>
      </c>
      <c r="I173" s="13"/>
      <c r="J173" s="13" t="s">
        <v>1436</v>
      </c>
      <c r="K173" s="13" t="s">
        <v>1437</v>
      </c>
      <c r="L173" s="13" t="s">
        <v>1438</v>
      </c>
      <c r="M173" s="13"/>
    </row>
    <row r="174" customFormat="false" ht="15" hidden="false" customHeight="false" outlineLevel="0" collapsed="false">
      <c r="A174" s="13" t="s">
        <v>595</v>
      </c>
      <c r="B174" s="13" t="s">
        <v>594</v>
      </c>
      <c r="C174" s="13" t="s">
        <v>1439</v>
      </c>
      <c r="D174" s="13" t="s">
        <v>57</v>
      </c>
      <c r="E174" s="13" t="s">
        <v>692</v>
      </c>
      <c r="F174" s="13" t="s">
        <v>693</v>
      </c>
      <c r="G174" s="61" t="n">
        <v>1336779804</v>
      </c>
      <c r="H174" s="13" t="s">
        <v>1435</v>
      </c>
      <c r="I174" s="13"/>
      <c r="J174" s="13" t="s">
        <v>1440</v>
      </c>
      <c r="K174" s="13" t="s">
        <v>1441</v>
      </c>
      <c r="L174" s="13" t="s">
        <v>1438</v>
      </c>
      <c r="M174" s="13"/>
    </row>
    <row r="175" customFormat="false" ht="15" hidden="false" customHeight="false" outlineLevel="0" collapsed="false">
      <c r="A175" s="13" t="s">
        <v>595</v>
      </c>
      <c r="B175" s="13" t="s">
        <v>594</v>
      </c>
      <c r="C175" s="13" t="s">
        <v>1442</v>
      </c>
      <c r="D175" s="13" t="s">
        <v>57</v>
      </c>
      <c r="E175" s="13" t="s">
        <v>692</v>
      </c>
      <c r="F175" s="13" t="s">
        <v>693</v>
      </c>
      <c r="G175" s="61" t="n">
        <v>2228380991</v>
      </c>
      <c r="H175" s="13" t="s">
        <v>1435</v>
      </c>
      <c r="I175" s="13"/>
      <c r="J175" s="13" t="s">
        <v>1440</v>
      </c>
      <c r="K175" s="13" t="s">
        <v>606</v>
      </c>
      <c r="L175" s="13" t="s">
        <v>1443</v>
      </c>
      <c r="M175" s="13"/>
    </row>
    <row r="176" customFormat="false" ht="15" hidden="false" customHeight="false" outlineLevel="0" collapsed="false">
      <c r="A176" s="13" t="s">
        <v>595</v>
      </c>
      <c r="B176" s="13" t="s">
        <v>594</v>
      </c>
      <c r="C176" s="13" t="s">
        <v>1444</v>
      </c>
      <c r="D176" s="13" t="s">
        <v>57</v>
      </c>
      <c r="E176" s="13" t="s">
        <v>692</v>
      </c>
      <c r="F176" s="13" t="s">
        <v>693</v>
      </c>
      <c r="G176" s="61" t="n">
        <v>1521067374</v>
      </c>
      <c r="H176" s="13" t="s">
        <v>1435</v>
      </c>
      <c r="I176" s="13"/>
      <c r="J176" s="13" t="s">
        <v>1445</v>
      </c>
      <c r="K176" s="13" t="s">
        <v>607</v>
      </c>
      <c r="L176" s="13" t="s">
        <v>1443</v>
      </c>
      <c r="M176" s="13"/>
    </row>
    <row r="177" customFormat="false" ht="15" hidden="false" customHeight="false" outlineLevel="0" collapsed="false">
      <c r="A177" s="13" t="s">
        <v>595</v>
      </c>
      <c r="B177" s="13" t="s">
        <v>594</v>
      </c>
      <c r="C177" s="13" t="s">
        <v>1446</v>
      </c>
      <c r="D177" s="13" t="s">
        <v>57</v>
      </c>
      <c r="E177" s="13" t="s">
        <v>692</v>
      </c>
      <c r="F177" s="13" t="s">
        <v>693</v>
      </c>
      <c r="G177" s="61" t="n">
        <v>580048831</v>
      </c>
      <c r="H177" s="13" t="s">
        <v>1435</v>
      </c>
      <c r="I177" s="13"/>
      <c r="J177" s="13" t="s">
        <v>1447</v>
      </c>
      <c r="K177" s="13" t="s">
        <v>608</v>
      </c>
      <c r="L177" s="13" t="s">
        <v>1443</v>
      </c>
      <c r="M177" s="13"/>
    </row>
    <row r="178" customFormat="false" ht="15" hidden="false" customHeight="false" outlineLevel="0" collapsed="false">
      <c r="A178" s="13" t="s">
        <v>595</v>
      </c>
      <c r="B178" s="13" t="s">
        <v>594</v>
      </c>
      <c r="C178" s="13" t="s">
        <v>1448</v>
      </c>
      <c r="D178" s="13" t="s">
        <v>57</v>
      </c>
      <c r="E178" s="13" t="s">
        <v>692</v>
      </c>
      <c r="F178" s="13" t="s">
        <v>693</v>
      </c>
      <c r="G178" s="61" t="n">
        <v>323108259</v>
      </c>
      <c r="H178" s="13" t="s">
        <v>1435</v>
      </c>
      <c r="I178" s="13"/>
      <c r="J178" s="13" t="s">
        <v>1449</v>
      </c>
      <c r="K178" s="13" t="s">
        <v>609</v>
      </c>
      <c r="L178" s="13" t="s">
        <v>1443</v>
      </c>
      <c r="M178" s="13"/>
    </row>
    <row r="179" customFormat="false" ht="15" hidden="false" customHeight="false" outlineLevel="0" collapsed="false">
      <c r="A179" s="13" t="s">
        <v>595</v>
      </c>
      <c r="B179" s="13" t="s">
        <v>594</v>
      </c>
      <c r="C179" s="13" t="s">
        <v>1434</v>
      </c>
      <c r="D179" s="13" t="s">
        <v>57</v>
      </c>
      <c r="E179" s="13" t="s">
        <v>695</v>
      </c>
      <c r="F179" s="13" t="s">
        <v>696</v>
      </c>
      <c r="G179" s="61" t="n">
        <v>14333768293</v>
      </c>
      <c r="H179" s="13" t="s">
        <v>1435</v>
      </c>
      <c r="I179" s="13"/>
      <c r="J179" s="13" t="s">
        <v>1436</v>
      </c>
      <c r="K179" s="13" t="s">
        <v>1437</v>
      </c>
      <c r="L179" s="13" t="s">
        <v>1438</v>
      </c>
      <c r="M179" s="13"/>
    </row>
    <row r="180" customFormat="false" ht="15" hidden="false" customHeight="false" outlineLevel="0" collapsed="false">
      <c r="A180" s="13" t="s">
        <v>595</v>
      </c>
      <c r="B180" s="13" t="s">
        <v>594</v>
      </c>
      <c r="C180" s="13" t="s">
        <v>1439</v>
      </c>
      <c r="D180" s="13" t="s">
        <v>57</v>
      </c>
      <c r="E180" s="13" t="s">
        <v>695</v>
      </c>
      <c r="F180" s="13" t="s">
        <v>696</v>
      </c>
      <c r="G180" s="61" t="n">
        <v>7510404581</v>
      </c>
      <c r="H180" s="13" t="s">
        <v>1435</v>
      </c>
      <c r="I180" s="13"/>
      <c r="J180" s="13" t="s">
        <v>1440</v>
      </c>
      <c r="K180" s="13" t="s">
        <v>1441</v>
      </c>
      <c r="L180" s="13" t="s">
        <v>1438</v>
      </c>
      <c r="M180" s="13"/>
    </row>
    <row r="181" customFormat="false" ht="15" hidden="false" customHeight="false" outlineLevel="0" collapsed="false">
      <c r="A181" s="13" t="s">
        <v>595</v>
      </c>
      <c r="B181" s="13" t="s">
        <v>594</v>
      </c>
      <c r="C181" s="13" t="s">
        <v>1442</v>
      </c>
      <c r="D181" s="13" t="s">
        <v>57</v>
      </c>
      <c r="E181" s="13" t="s">
        <v>695</v>
      </c>
      <c r="F181" s="13" t="s">
        <v>696</v>
      </c>
      <c r="G181" s="61" t="n">
        <v>-91376041315</v>
      </c>
      <c r="H181" s="13" t="s">
        <v>1435</v>
      </c>
      <c r="I181" s="13"/>
      <c r="J181" s="13" t="s">
        <v>1440</v>
      </c>
      <c r="K181" s="13" t="s">
        <v>606</v>
      </c>
      <c r="L181" s="13" t="s">
        <v>1443</v>
      </c>
      <c r="M181" s="13"/>
    </row>
    <row r="182" customFormat="false" ht="15" hidden="false" customHeight="false" outlineLevel="0" collapsed="false">
      <c r="A182" s="13" t="s">
        <v>595</v>
      </c>
      <c r="B182" s="13" t="s">
        <v>594</v>
      </c>
      <c r="C182" s="13" t="s">
        <v>1444</v>
      </c>
      <c r="D182" s="13" t="s">
        <v>57</v>
      </c>
      <c r="E182" s="13" t="s">
        <v>695</v>
      </c>
      <c r="F182" s="13" t="s">
        <v>696</v>
      </c>
      <c r="G182" s="61" t="n">
        <v>-109167794521</v>
      </c>
      <c r="H182" s="13" t="s">
        <v>1435</v>
      </c>
      <c r="I182" s="13"/>
      <c r="J182" s="13" t="s">
        <v>1445</v>
      </c>
      <c r="K182" s="13" t="s">
        <v>607</v>
      </c>
      <c r="L182" s="13" t="s">
        <v>1443</v>
      </c>
      <c r="M182" s="13"/>
    </row>
    <row r="183" customFormat="false" ht="15" hidden="false" customHeight="false" outlineLevel="0" collapsed="false">
      <c r="A183" s="13" t="s">
        <v>595</v>
      </c>
      <c r="B183" s="13" t="s">
        <v>594</v>
      </c>
      <c r="C183" s="13" t="s">
        <v>1446</v>
      </c>
      <c r="D183" s="13" t="s">
        <v>57</v>
      </c>
      <c r="E183" s="13" t="s">
        <v>695</v>
      </c>
      <c r="F183" s="13" t="s">
        <v>696</v>
      </c>
      <c r="G183" s="61" t="n">
        <v>-79337171273</v>
      </c>
      <c r="H183" s="13" t="s">
        <v>1435</v>
      </c>
      <c r="I183" s="13"/>
      <c r="J183" s="13" t="s">
        <v>1447</v>
      </c>
      <c r="K183" s="13" t="s">
        <v>608</v>
      </c>
      <c r="L183" s="13" t="s">
        <v>1443</v>
      </c>
      <c r="M183" s="13"/>
    </row>
    <row r="184" customFormat="false" ht="15" hidden="false" customHeight="false" outlineLevel="0" collapsed="false">
      <c r="A184" s="13" t="s">
        <v>595</v>
      </c>
      <c r="B184" s="13" t="s">
        <v>594</v>
      </c>
      <c r="C184" s="13" t="s">
        <v>1448</v>
      </c>
      <c r="D184" s="13" t="s">
        <v>57</v>
      </c>
      <c r="E184" s="13" t="s">
        <v>695</v>
      </c>
      <c r="F184" s="13" t="s">
        <v>696</v>
      </c>
      <c r="G184" s="61" t="n">
        <v>5468674380</v>
      </c>
      <c r="H184" s="13" t="s">
        <v>1435</v>
      </c>
      <c r="I184" s="13"/>
      <c r="J184" s="13" t="s">
        <v>1449</v>
      </c>
      <c r="K184" s="13" t="s">
        <v>609</v>
      </c>
      <c r="L184" s="13" t="s">
        <v>1443</v>
      </c>
      <c r="M184" s="13"/>
    </row>
    <row r="185" customFormat="false" ht="15" hidden="false" customHeight="false" outlineLevel="0" collapsed="false">
      <c r="A185" s="13" t="s">
        <v>595</v>
      </c>
      <c r="B185" s="13" t="s">
        <v>594</v>
      </c>
      <c r="C185" s="13" t="s">
        <v>1434</v>
      </c>
      <c r="D185" s="13" t="s">
        <v>59</v>
      </c>
      <c r="E185" s="13" t="s">
        <v>699</v>
      </c>
      <c r="F185" s="13" t="s">
        <v>376</v>
      </c>
      <c r="G185" s="61" t="n">
        <v>525479693804</v>
      </c>
      <c r="H185" s="13" t="s">
        <v>1435</v>
      </c>
      <c r="I185" s="13"/>
      <c r="J185" s="13" t="s">
        <v>1451</v>
      </c>
      <c r="K185" s="13" t="s">
        <v>1437</v>
      </c>
      <c r="L185" s="13" t="s">
        <v>1438</v>
      </c>
      <c r="M185" s="13"/>
    </row>
    <row r="186" customFormat="false" ht="15" hidden="false" customHeight="false" outlineLevel="0" collapsed="false">
      <c r="A186" s="13" t="s">
        <v>595</v>
      </c>
      <c r="B186" s="13" t="s">
        <v>594</v>
      </c>
      <c r="C186" s="13" t="s">
        <v>1439</v>
      </c>
      <c r="D186" s="13" t="s">
        <v>59</v>
      </c>
      <c r="E186" s="13" t="s">
        <v>699</v>
      </c>
      <c r="F186" s="13" t="s">
        <v>376</v>
      </c>
      <c r="G186" s="61" t="n">
        <v>542400475238</v>
      </c>
      <c r="H186" s="13" t="s">
        <v>1435</v>
      </c>
      <c r="I186" s="13"/>
      <c r="J186" s="13" t="s">
        <v>1452</v>
      </c>
      <c r="K186" s="13" t="s">
        <v>1441</v>
      </c>
      <c r="L186" s="13" t="s">
        <v>1438</v>
      </c>
      <c r="M186" s="13"/>
    </row>
    <row r="187" customFormat="false" ht="15" hidden="false" customHeight="false" outlineLevel="0" collapsed="false">
      <c r="A187" s="13" t="s">
        <v>595</v>
      </c>
      <c r="B187" s="13" t="s">
        <v>594</v>
      </c>
      <c r="C187" s="13" t="s">
        <v>1442</v>
      </c>
      <c r="D187" s="13" t="s">
        <v>59</v>
      </c>
      <c r="E187" s="13" t="s">
        <v>699</v>
      </c>
      <c r="F187" s="13" t="s">
        <v>376</v>
      </c>
      <c r="G187" s="61" t="n">
        <v>533208033479</v>
      </c>
      <c r="H187" s="13" t="s">
        <v>1435</v>
      </c>
      <c r="I187" s="13"/>
      <c r="J187" s="13" t="s">
        <v>1452</v>
      </c>
      <c r="K187" s="13" t="s">
        <v>606</v>
      </c>
      <c r="L187" s="13" t="s">
        <v>1443</v>
      </c>
      <c r="M187" s="13"/>
    </row>
    <row r="188" customFormat="false" ht="15" hidden="false" customHeight="false" outlineLevel="0" collapsed="false">
      <c r="A188" s="13" t="s">
        <v>595</v>
      </c>
      <c r="B188" s="13" t="s">
        <v>594</v>
      </c>
      <c r="C188" s="13" t="s">
        <v>1444</v>
      </c>
      <c r="D188" s="13" t="s">
        <v>59</v>
      </c>
      <c r="E188" s="13" t="s">
        <v>699</v>
      </c>
      <c r="F188" s="13" t="s">
        <v>376</v>
      </c>
      <c r="G188" s="61" t="n">
        <v>525762948837</v>
      </c>
      <c r="H188" s="13" t="s">
        <v>1435</v>
      </c>
      <c r="I188" s="13"/>
      <c r="J188" s="13" t="s">
        <v>1453</v>
      </c>
      <c r="K188" s="13" t="s">
        <v>607</v>
      </c>
      <c r="L188" s="13" t="s">
        <v>1443</v>
      </c>
      <c r="M188" s="13"/>
    </row>
    <row r="189" customFormat="false" ht="15" hidden="false" customHeight="false" outlineLevel="0" collapsed="false">
      <c r="A189" s="13" t="s">
        <v>595</v>
      </c>
      <c r="B189" s="13" t="s">
        <v>594</v>
      </c>
      <c r="C189" s="13" t="s">
        <v>1446</v>
      </c>
      <c r="D189" s="13" t="s">
        <v>59</v>
      </c>
      <c r="E189" s="13" t="s">
        <v>699</v>
      </c>
      <c r="F189" s="13" t="s">
        <v>376</v>
      </c>
      <c r="G189" s="61" t="n">
        <v>449069663731</v>
      </c>
      <c r="H189" s="13" t="s">
        <v>1435</v>
      </c>
      <c r="I189" s="13"/>
      <c r="J189" s="13" t="s">
        <v>1454</v>
      </c>
      <c r="K189" s="13" t="s">
        <v>608</v>
      </c>
      <c r="L189" s="13" t="s">
        <v>1443</v>
      </c>
      <c r="M189" s="13"/>
    </row>
    <row r="190" customFormat="false" ht="15" hidden="false" customHeight="false" outlineLevel="0" collapsed="false">
      <c r="A190" s="13" t="s">
        <v>595</v>
      </c>
      <c r="B190" s="13" t="s">
        <v>594</v>
      </c>
      <c r="C190" s="13" t="s">
        <v>1448</v>
      </c>
      <c r="D190" s="13" t="s">
        <v>59</v>
      </c>
      <c r="E190" s="13" t="s">
        <v>699</v>
      </c>
      <c r="F190" s="13" t="s">
        <v>376</v>
      </c>
      <c r="G190" s="61" t="n">
        <v>420204094763</v>
      </c>
      <c r="H190" s="13" t="s">
        <v>1435</v>
      </c>
      <c r="I190" s="13"/>
      <c r="J190" s="13" t="s">
        <v>1455</v>
      </c>
      <c r="K190" s="13" t="s">
        <v>609</v>
      </c>
      <c r="L190" s="13" t="s">
        <v>1443</v>
      </c>
      <c r="M190" s="13"/>
    </row>
    <row r="191" customFormat="false" ht="15" hidden="false" customHeight="false" outlineLevel="0" collapsed="false">
      <c r="A191" s="13" t="s">
        <v>595</v>
      </c>
      <c r="B191" s="13" t="s">
        <v>594</v>
      </c>
      <c r="C191" s="13" t="s">
        <v>1434</v>
      </c>
      <c r="D191" s="13" t="s">
        <v>59</v>
      </c>
      <c r="E191" s="13" t="s">
        <v>701</v>
      </c>
      <c r="F191" s="13" t="s">
        <v>702</v>
      </c>
      <c r="G191" s="61" t="n">
        <v>200000000000</v>
      </c>
      <c r="H191" s="13" t="s">
        <v>1435</v>
      </c>
      <c r="I191" s="13"/>
      <c r="J191" s="13" t="s">
        <v>1451</v>
      </c>
      <c r="K191" s="13" t="s">
        <v>1437</v>
      </c>
      <c r="L191" s="13" t="s">
        <v>1438</v>
      </c>
      <c r="M191" s="13"/>
    </row>
    <row r="192" customFormat="false" ht="15" hidden="false" customHeight="false" outlineLevel="0" collapsed="false">
      <c r="A192" s="13" t="s">
        <v>595</v>
      </c>
      <c r="B192" s="13" t="s">
        <v>594</v>
      </c>
      <c r="C192" s="13" t="s">
        <v>1439</v>
      </c>
      <c r="D192" s="13" t="s">
        <v>59</v>
      </c>
      <c r="E192" s="13" t="s">
        <v>701</v>
      </c>
      <c r="F192" s="13" t="s">
        <v>702</v>
      </c>
      <c r="G192" s="61" t="n">
        <v>650000000000</v>
      </c>
      <c r="H192" s="13" t="s">
        <v>1435</v>
      </c>
      <c r="I192" s="13"/>
      <c r="J192" s="13" t="s">
        <v>1452</v>
      </c>
      <c r="K192" s="13" t="s">
        <v>1441</v>
      </c>
      <c r="L192" s="13" t="s">
        <v>1438</v>
      </c>
      <c r="M192" s="13"/>
    </row>
    <row r="193" customFormat="false" ht="15" hidden="false" customHeight="false" outlineLevel="0" collapsed="false">
      <c r="A193" s="13" t="s">
        <v>595</v>
      </c>
      <c r="B193" s="13" t="s">
        <v>594</v>
      </c>
      <c r="C193" s="13" t="s">
        <v>1442</v>
      </c>
      <c r="D193" s="13" t="s">
        <v>59</v>
      </c>
      <c r="E193" s="13" t="s">
        <v>701</v>
      </c>
      <c r="F193" s="13" t="s">
        <v>702</v>
      </c>
      <c r="G193" s="61" t="n">
        <v>320000000000</v>
      </c>
      <c r="H193" s="13" t="s">
        <v>1435</v>
      </c>
      <c r="I193" s="13"/>
      <c r="J193" s="13" t="s">
        <v>1452</v>
      </c>
      <c r="K193" s="13" t="s">
        <v>606</v>
      </c>
      <c r="L193" s="13" t="s">
        <v>1443</v>
      </c>
      <c r="M193" s="13"/>
    </row>
    <row r="194" customFormat="false" ht="15" hidden="false" customHeight="false" outlineLevel="0" collapsed="false">
      <c r="A194" s="13" t="s">
        <v>595</v>
      </c>
      <c r="B194" s="13" t="s">
        <v>594</v>
      </c>
      <c r="C194" s="13" t="s">
        <v>1444</v>
      </c>
      <c r="D194" s="13" t="s">
        <v>59</v>
      </c>
      <c r="E194" s="13" t="s">
        <v>701</v>
      </c>
      <c r="F194" s="13" t="s">
        <v>702</v>
      </c>
      <c r="G194" s="61" t="n">
        <v>229000000000</v>
      </c>
      <c r="H194" s="13" t="s">
        <v>1435</v>
      </c>
      <c r="I194" s="13"/>
      <c r="J194" s="13" t="s">
        <v>1453</v>
      </c>
      <c r="K194" s="13" t="s">
        <v>607</v>
      </c>
      <c r="L194" s="13" t="s">
        <v>1443</v>
      </c>
      <c r="M194" s="13"/>
    </row>
    <row r="195" customFormat="false" ht="15" hidden="false" customHeight="false" outlineLevel="0" collapsed="false">
      <c r="A195" s="13" t="s">
        <v>595</v>
      </c>
      <c r="B195" s="13" t="s">
        <v>594</v>
      </c>
      <c r="C195" s="13" t="s">
        <v>1446</v>
      </c>
      <c r="D195" s="13" t="s">
        <v>59</v>
      </c>
      <c r="E195" s="13" t="s">
        <v>701</v>
      </c>
      <c r="F195" s="13" t="s">
        <v>702</v>
      </c>
      <c r="G195" s="61" t="n">
        <v>43000000000</v>
      </c>
      <c r="H195" s="13" t="s">
        <v>1435</v>
      </c>
      <c r="I195" s="13"/>
      <c r="J195" s="13" t="s">
        <v>1454</v>
      </c>
      <c r="K195" s="13" t="s">
        <v>608</v>
      </c>
      <c r="L195" s="13" t="s">
        <v>1443</v>
      </c>
      <c r="M195" s="13"/>
    </row>
    <row r="196" customFormat="false" ht="15" hidden="false" customHeight="false" outlineLevel="0" collapsed="false">
      <c r="A196" s="13" t="s">
        <v>595</v>
      </c>
      <c r="B196" s="13" t="s">
        <v>594</v>
      </c>
      <c r="C196" s="13" t="s">
        <v>1448</v>
      </c>
      <c r="D196" s="13" t="s">
        <v>59</v>
      </c>
      <c r="E196" s="13" t="s">
        <v>701</v>
      </c>
      <c r="F196" s="13" t="s">
        <v>702</v>
      </c>
      <c r="G196" s="61" t="n">
        <v>50500000000</v>
      </c>
      <c r="H196" s="13" t="s">
        <v>1435</v>
      </c>
      <c r="I196" s="13"/>
      <c r="J196" s="13" t="s">
        <v>1455</v>
      </c>
      <c r="K196" s="13" t="s">
        <v>609</v>
      </c>
      <c r="L196" s="13" t="s">
        <v>1443</v>
      </c>
      <c r="M196" s="13"/>
    </row>
    <row r="197" customFormat="false" ht="15" hidden="false" customHeight="false" outlineLevel="0" collapsed="false">
      <c r="A197" s="13" t="s">
        <v>595</v>
      </c>
      <c r="B197" s="13" t="s">
        <v>594</v>
      </c>
      <c r="C197" s="13" t="s">
        <v>1434</v>
      </c>
      <c r="D197" s="13" t="s">
        <v>59</v>
      </c>
      <c r="E197" s="13" t="s">
        <v>704</v>
      </c>
      <c r="F197" s="13" t="s">
        <v>705</v>
      </c>
      <c r="G197" s="61" t="n">
        <v>46315632063</v>
      </c>
      <c r="H197" s="13" t="s">
        <v>1435</v>
      </c>
      <c r="I197" s="13"/>
      <c r="J197" s="13" t="s">
        <v>1451</v>
      </c>
      <c r="K197" s="13" t="s">
        <v>1437</v>
      </c>
      <c r="L197" s="13" t="s">
        <v>1438</v>
      </c>
      <c r="M197" s="13"/>
    </row>
    <row r="198" customFormat="false" ht="15" hidden="false" customHeight="false" outlineLevel="0" collapsed="false">
      <c r="A198" s="13" t="s">
        <v>595</v>
      </c>
      <c r="B198" s="13" t="s">
        <v>594</v>
      </c>
      <c r="C198" s="13" t="s">
        <v>1439</v>
      </c>
      <c r="D198" s="13" t="s">
        <v>59</v>
      </c>
      <c r="E198" s="13" t="s">
        <v>704</v>
      </c>
      <c r="F198" s="13" t="s">
        <v>705</v>
      </c>
      <c r="G198" s="61" t="n">
        <v>43418562083</v>
      </c>
      <c r="H198" s="13" t="s">
        <v>1435</v>
      </c>
      <c r="I198" s="13"/>
      <c r="J198" s="13" t="s">
        <v>1452</v>
      </c>
      <c r="K198" s="13" t="s">
        <v>1441</v>
      </c>
      <c r="L198" s="13" t="s">
        <v>1438</v>
      </c>
      <c r="M198" s="13"/>
    </row>
    <row r="199" customFormat="false" ht="15" hidden="false" customHeight="false" outlineLevel="0" collapsed="false">
      <c r="A199" s="13" t="s">
        <v>595</v>
      </c>
      <c r="B199" s="13" t="s">
        <v>594</v>
      </c>
      <c r="C199" s="13" t="s">
        <v>1442</v>
      </c>
      <c r="D199" s="13" t="s">
        <v>59</v>
      </c>
      <c r="E199" s="13" t="s">
        <v>704</v>
      </c>
      <c r="F199" s="13" t="s">
        <v>705</v>
      </c>
      <c r="G199" s="61" t="n">
        <v>19493922195</v>
      </c>
      <c r="H199" s="13" t="s">
        <v>1435</v>
      </c>
      <c r="I199" s="13"/>
      <c r="J199" s="13" t="s">
        <v>1452</v>
      </c>
      <c r="K199" s="13" t="s">
        <v>606</v>
      </c>
      <c r="L199" s="13" t="s">
        <v>1443</v>
      </c>
      <c r="M199" s="13"/>
    </row>
    <row r="200" customFormat="false" ht="15" hidden="false" customHeight="false" outlineLevel="0" collapsed="false">
      <c r="A200" s="13" t="s">
        <v>595</v>
      </c>
      <c r="B200" s="13" t="s">
        <v>594</v>
      </c>
      <c r="C200" s="13" t="s">
        <v>1444</v>
      </c>
      <c r="D200" s="13" t="s">
        <v>59</v>
      </c>
      <c r="E200" s="13" t="s">
        <v>704</v>
      </c>
      <c r="F200" s="13" t="s">
        <v>705</v>
      </c>
      <c r="G200" s="61" t="n">
        <v>29762970115</v>
      </c>
      <c r="H200" s="13" t="s">
        <v>1435</v>
      </c>
      <c r="I200" s="13"/>
      <c r="J200" s="13" t="s">
        <v>1453</v>
      </c>
      <c r="K200" s="13" t="s">
        <v>607</v>
      </c>
      <c r="L200" s="13" t="s">
        <v>1443</v>
      </c>
      <c r="M200" s="13"/>
    </row>
    <row r="201" customFormat="false" ht="15" hidden="false" customHeight="false" outlineLevel="0" collapsed="false">
      <c r="A201" s="13" t="s">
        <v>595</v>
      </c>
      <c r="B201" s="13" t="s">
        <v>594</v>
      </c>
      <c r="C201" s="13" t="s">
        <v>1446</v>
      </c>
      <c r="D201" s="13" t="s">
        <v>59</v>
      </c>
      <c r="E201" s="13" t="s">
        <v>704</v>
      </c>
      <c r="F201" s="13" t="s">
        <v>705</v>
      </c>
      <c r="G201" s="61" t="n">
        <v>39287099946</v>
      </c>
      <c r="H201" s="13" t="s">
        <v>1435</v>
      </c>
      <c r="I201" s="13"/>
      <c r="J201" s="13" t="s">
        <v>1454</v>
      </c>
      <c r="K201" s="13" t="s">
        <v>608</v>
      </c>
      <c r="L201" s="13" t="s">
        <v>1443</v>
      </c>
      <c r="M201" s="13"/>
    </row>
    <row r="202" customFormat="false" ht="15" hidden="false" customHeight="false" outlineLevel="0" collapsed="false">
      <c r="A202" s="13" t="s">
        <v>595</v>
      </c>
      <c r="B202" s="13" t="s">
        <v>594</v>
      </c>
      <c r="C202" s="13" t="s">
        <v>1448</v>
      </c>
      <c r="D202" s="13" t="s">
        <v>59</v>
      </c>
      <c r="E202" s="13" t="s">
        <v>704</v>
      </c>
      <c r="F202" s="13" t="s">
        <v>705</v>
      </c>
      <c r="G202" s="61" t="n">
        <v>32414715751</v>
      </c>
      <c r="H202" s="13" t="s">
        <v>1435</v>
      </c>
      <c r="I202" s="13"/>
      <c r="J202" s="13" t="s">
        <v>1455</v>
      </c>
      <c r="K202" s="13" t="s">
        <v>609</v>
      </c>
      <c r="L202" s="13" t="s">
        <v>1443</v>
      </c>
      <c r="M202" s="13"/>
    </row>
    <row r="203" customFormat="false" ht="15" hidden="false" customHeight="false" outlineLevel="0" collapsed="false">
      <c r="A203" s="13" t="s">
        <v>595</v>
      </c>
      <c r="B203" s="13" t="s">
        <v>594</v>
      </c>
      <c r="C203" s="13" t="s">
        <v>1434</v>
      </c>
      <c r="D203" s="13" t="s">
        <v>59</v>
      </c>
      <c r="E203" s="13" t="s">
        <v>707</v>
      </c>
      <c r="F203" s="13" t="s">
        <v>708</v>
      </c>
      <c r="G203" s="61" t="n">
        <v>17731873</v>
      </c>
      <c r="H203" s="13" t="s">
        <v>1435</v>
      </c>
      <c r="I203" s="13"/>
      <c r="J203" s="13" t="s">
        <v>1451</v>
      </c>
      <c r="K203" s="13" t="s">
        <v>1437</v>
      </c>
      <c r="L203" s="13" t="s">
        <v>1438</v>
      </c>
      <c r="M203" s="13"/>
    </row>
    <row r="204" customFormat="false" ht="15" hidden="false" customHeight="false" outlineLevel="0" collapsed="false">
      <c r="A204" s="13" t="s">
        <v>595</v>
      </c>
      <c r="B204" s="13" t="s">
        <v>594</v>
      </c>
      <c r="C204" s="13" t="s">
        <v>1439</v>
      </c>
      <c r="D204" s="13" t="s">
        <v>59</v>
      </c>
      <c r="E204" s="13" t="s">
        <v>707</v>
      </c>
      <c r="F204" s="13" t="s">
        <v>708</v>
      </c>
      <c r="G204" s="61" t="n">
        <v>7668632882</v>
      </c>
      <c r="H204" s="13" t="s">
        <v>1435</v>
      </c>
      <c r="I204" s="13"/>
      <c r="J204" s="13" t="s">
        <v>1452</v>
      </c>
      <c r="K204" s="13" t="s">
        <v>1441</v>
      </c>
      <c r="L204" s="13" t="s">
        <v>1438</v>
      </c>
      <c r="M204" s="13"/>
    </row>
    <row r="205" customFormat="false" ht="15" hidden="false" customHeight="false" outlineLevel="0" collapsed="false">
      <c r="A205" s="13" t="s">
        <v>595</v>
      </c>
      <c r="B205" s="13" t="s">
        <v>594</v>
      </c>
      <c r="C205" s="13" t="s">
        <v>1442</v>
      </c>
      <c r="D205" s="13" t="s">
        <v>59</v>
      </c>
      <c r="E205" s="13" t="s">
        <v>707</v>
      </c>
      <c r="F205" s="13" t="s">
        <v>708</v>
      </c>
      <c r="G205" s="61" t="n">
        <v>340953590</v>
      </c>
      <c r="H205" s="13" t="s">
        <v>1435</v>
      </c>
      <c r="I205" s="13"/>
      <c r="J205" s="13" t="s">
        <v>1452</v>
      </c>
      <c r="K205" s="13" t="s">
        <v>606</v>
      </c>
      <c r="L205" s="13" t="s">
        <v>1443</v>
      </c>
      <c r="M205" s="13"/>
    </row>
    <row r="206" customFormat="false" ht="15" hidden="false" customHeight="false" outlineLevel="0" collapsed="false">
      <c r="A206" s="13" t="s">
        <v>595</v>
      </c>
      <c r="B206" s="13" t="s">
        <v>594</v>
      </c>
      <c r="C206" s="13" t="s">
        <v>1444</v>
      </c>
      <c r="D206" s="13" t="s">
        <v>59</v>
      </c>
      <c r="E206" s="13" t="s">
        <v>707</v>
      </c>
      <c r="F206" s="13" t="s">
        <v>708</v>
      </c>
      <c r="G206" s="61" t="n">
        <v>433676044</v>
      </c>
      <c r="H206" s="13" t="s">
        <v>1435</v>
      </c>
      <c r="I206" s="13"/>
      <c r="J206" s="13" t="s">
        <v>1453</v>
      </c>
      <c r="K206" s="13" t="s">
        <v>607</v>
      </c>
      <c r="L206" s="13" t="s">
        <v>1443</v>
      </c>
      <c r="M206" s="13"/>
    </row>
    <row r="207" customFormat="false" ht="15" hidden="false" customHeight="false" outlineLevel="0" collapsed="false">
      <c r="A207" s="13" t="s">
        <v>595</v>
      </c>
      <c r="B207" s="13" t="s">
        <v>594</v>
      </c>
      <c r="C207" s="13" t="s">
        <v>1446</v>
      </c>
      <c r="D207" s="13" t="s">
        <v>59</v>
      </c>
      <c r="E207" s="13" t="s">
        <v>707</v>
      </c>
      <c r="F207" s="13" t="s">
        <v>708</v>
      </c>
      <c r="G207" s="61" t="n">
        <v>224662236</v>
      </c>
      <c r="H207" s="13" t="s">
        <v>1435</v>
      </c>
      <c r="I207" s="13"/>
      <c r="J207" s="13" t="s">
        <v>1454</v>
      </c>
      <c r="K207" s="13" t="s">
        <v>608</v>
      </c>
      <c r="L207" s="13" t="s">
        <v>1443</v>
      </c>
      <c r="M207" s="13"/>
    </row>
    <row r="208" customFormat="false" ht="15" hidden="false" customHeight="false" outlineLevel="0" collapsed="false">
      <c r="A208" s="13" t="s">
        <v>595</v>
      </c>
      <c r="B208" s="13" t="s">
        <v>594</v>
      </c>
      <c r="C208" s="13" t="s">
        <v>1448</v>
      </c>
      <c r="D208" s="13" t="s">
        <v>59</v>
      </c>
      <c r="E208" s="13" t="s">
        <v>707</v>
      </c>
      <c r="F208" s="13" t="s">
        <v>708</v>
      </c>
      <c r="G208" s="61" t="n">
        <v>85820156</v>
      </c>
      <c r="H208" s="13" t="s">
        <v>1435</v>
      </c>
      <c r="I208" s="13"/>
      <c r="J208" s="13" t="s">
        <v>1455</v>
      </c>
      <c r="K208" s="13" t="s">
        <v>609</v>
      </c>
      <c r="L208" s="13" t="s">
        <v>1443</v>
      </c>
      <c r="M208" s="13"/>
    </row>
    <row r="209" customFormat="false" ht="15" hidden="false" customHeight="false" outlineLevel="0" collapsed="false">
      <c r="A209" s="13" t="s">
        <v>595</v>
      </c>
      <c r="B209" s="13" t="s">
        <v>594</v>
      </c>
      <c r="C209" s="13" t="s">
        <v>1434</v>
      </c>
      <c r="D209" s="13" t="s">
        <v>59</v>
      </c>
      <c r="E209" s="13" t="s">
        <v>710</v>
      </c>
      <c r="F209" s="13" t="s">
        <v>381</v>
      </c>
      <c r="G209" s="61" t="n">
        <v>6868279382</v>
      </c>
      <c r="H209" s="13" t="s">
        <v>1435</v>
      </c>
      <c r="I209" s="13"/>
      <c r="J209" s="13" t="s">
        <v>1451</v>
      </c>
      <c r="K209" s="13" t="s">
        <v>1437</v>
      </c>
      <c r="L209" s="13" t="s">
        <v>1438</v>
      </c>
      <c r="M209" s="13"/>
    </row>
    <row r="210" customFormat="false" ht="15" hidden="false" customHeight="false" outlineLevel="0" collapsed="false">
      <c r="A210" s="13" t="s">
        <v>595</v>
      </c>
      <c r="B210" s="13" t="s">
        <v>594</v>
      </c>
      <c r="C210" s="13" t="s">
        <v>1439</v>
      </c>
      <c r="D210" s="13" t="s">
        <v>59</v>
      </c>
      <c r="E210" s="13" t="s">
        <v>710</v>
      </c>
      <c r="F210" s="13" t="s">
        <v>381</v>
      </c>
      <c r="G210" s="61" t="n">
        <v>6128999612</v>
      </c>
      <c r="H210" s="13" t="s">
        <v>1435</v>
      </c>
      <c r="I210" s="13"/>
      <c r="J210" s="13" t="s">
        <v>1452</v>
      </c>
      <c r="K210" s="13" t="s">
        <v>1441</v>
      </c>
      <c r="L210" s="13" t="s">
        <v>1438</v>
      </c>
      <c r="M210" s="13"/>
    </row>
    <row r="211" customFormat="false" ht="15" hidden="false" customHeight="false" outlineLevel="0" collapsed="false">
      <c r="A211" s="13" t="s">
        <v>595</v>
      </c>
      <c r="B211" s="13" t="s">
        <v>594</v>
      </c>
      <c r="C211" s="13" t="s">
        <v>1442</v>
      </c>
      <c r="D211" s="13" t="s">
        <v>59</v>
      </c>
      <c r="E211" s="13" t="s">
        <v>710</v>
      </c>
      <c r="F211" s="13" t="s">
        <v>381</v>
      </c>
      <c r="G211" s="61" t="n">
        <v>3810165323</v>
      </c>
      <c r="H211" s="13" t="s">
        <v>1435</v>
      </c>
      <c r="I211" s="13"/>
      <c r="J211" s="13" t="s">
        <v>1452</v>
      </c>
      <c r="K211" s="13" t="s">
        <v>606</v>
      </c>
      <c r="L211" s="13" t="s">
        <v>1443</v>
      </c>
      <c r="M211" s="13"/>
    </row>
    <row r="212" customFormat="false" ht="15" hidden="false" customHeight="false" outlineLevel="0" collapsed="false">
      <c r="A212" s="13" t="s">
        <v>595</v>
      </c>
      <c r="B212" s="13" t="s">
        <v>594</v>
      </c>
      <c r="C212" s="13" t="s">
        <v>1444</v>
      </c>
      <c r="D212" s="13" t="s">
        <v>59</v>
      </c>
      <c r="E212" s="13" t="s">
        <v>710</v>
      </c>
      <c r="F212" s="13" t="s">
        <v>381</v>
      </c>
      <c r="G212" s="61" t="n">
        <v>4778420963</v>
      </c>
      <c r="H212" s="13" t="s">
        <v>1435</v>
      </c>
      <c r="I212" s="13"/>
      <c r="J212" s="13" t="s">
        <v>1453</v>
      </c>
      <c r="K212" s="13" t="s">
        <v>607</v>
      </c>
      <c r="L212" s="13" t="s">
        <v>1443</v>
      </c>
      <c r="M212" s="13"/>
    </row>
    <row r="213" customFormat="false" ht="15" hidden="false" customHeight="false" outlineLevel="0" collapsed="false">
      <c r="A213" s="13" t="s">
        <v>595</v>
      </c>
      <c r="B213" s="13" t="s">
        <v>594</v>
      </c>
      <c r="C213" s="13" t="s">
        <v>1446</v>
      </c>
      <c r="D213" s="13" t="s">
        <v>59</v>
      </c>
      <c r="E213" s="13" t="s">
        <v>710</v>
      </c>
      <c r="F213" s="13" t="s">
        <v>381</v>
      </c>
      <c r="G213" s="61" t="n">
        <v>6268091785</v>
      </c>
      <c r="H213" s="13" t="s">
        <v>1435</v>
      </c>
      <c r="I213" s="13"/>
      <c r="J213" s="13" t="s">
        <v>1454</v>
      </c>
      <c r="K213" s="13" t="s">
        <v>608</v>
      </c>
      <c r="L213" s="13" t="s">
        <v>1443</v>
      </c>
      <c r="M213" s="13"/>
    </row>
    <row r="214" customFormat="false" ht="15" hidden="false" customHeight="false" outlineLevel="0" collapsed="false">
      <c r="A214" s="13" t="s">
        <v>595</v>
      </c>
      <c r="B214" s="13" t="s">
        <v>594</v>
      </c>
      <c r="C214" s="13" t="s">
        <v>1448</v>
      </c>
      <c r="D214" s="13" t="s">
        <v>59</v>
      </c>
      <c r="E214" s="13" t="s">
        <v>710</v>
      </c>
      <c r="F214" s="13" t="s">
        <v>381</v>
      </c>
      <c r="G214" s="61" t="n">
        <v>5344682837</v>
      </c>
      <c r="H214" s="13" t="s">
        <v>1435</v>
      </c>
      <c r="I214" s="13"/>
      <c r="J214" s="13" t="s">
        <v>1455</v>
      </c>
      <c r="K214" s="13" t="s">
        <v>609</v>
      </c>
      <c r="L214" s="13" t="s">
        <v>1443</v>
      </c>
      <c r="M214" s="13"/>
    </row>
    <row r="215" customFormat="false" ht="15" hidden="false" customHeight="false" outlineLevel="0" collapsed="false">
      <c r="A215" s="13" t="s">
        <v>595</v>
      </c>
      <c r="B215" s="13" t="s">
        <v>594</v>
      </c>
      <c r="C215" s="13" t="s">
        <v>1434</v>
      </c>
      <c r="D215" s="13" t="s">
        <v>59</v>
      </c>
      <c r="E215" s="13" t="s">
        <v>712</v>
      </c>
      <c r="F215" s="13" t="s">
        <v>713</v>
      </c>
      <c r="G215" s="61" t="n">
        <v>1182138238</v>
      </c>
      <c r="H215" s="13" t="s">
        <v>1435</v>
      </c>
      <c r="I215" s="13"/>
      <c r="J215" s="13" t="s">
        <v>1451</v>
      </c>
      <c r="K215" s="13" t="s">
        <v>1437</v>
      </c>
      <c r="L215" s="13" t="s">
        <v>1438</v>
      </c>
      <c r="M215" s="13"/>
    </row>
    <row r="216" customFormat="false" ht="15" hidden="false" customHeight="false" outlineLevel="0" collapsed="false">
      <c r="A216" s="13" t="s">
        <v>595</v>
      </c>
      <c r="B216" s="13" t="s">
        <v>594</v>
      </c>
      <c r="C216" s="13" t="s">
        <v>1439</v>
      </c>
      <c r="D216" s="13" t="s">
        <v>59</v>
      </c>
      <c r="E216" s="13" t="s">
        <v>712</v>
      </c>
      <c r="F216" s="13" t="s">
        <v>713</v>
      </c>
      <c r="G216" s="61" t="n">
        <v>1754631182</v>
      </c>
      <c r="H216" s="13" t="s">
        <v>1435</v>
      </c>
      <c r="I216" s="13"/>
      <c r="J216" s="13" t="s">
        <v>1452</v>
      </c>
      <c r="K216" s="13" t="s">
        <v>1441</v>
      </c>
      <c r="L216" s="13" t="s">
        <v>1438</v>
      </c>
      <c r="M216" s="13"/>
    </row>
    <row r="217" customFormat="false" ht="15" hidden="false" customHeight="false" outlineLevel="0" collapsed="false">
      <c r="A217" s="13" t="s">
        <v>595</v>
      </c>
      <c r="B217" s="13" t="s">
        <v>594</v>
      </c>
      <c r="C217" s="13" t="s">
        <v>1442</v>
      </c>
      <c r="D217" s="13" t="s">
        <v>59</v>
      </c>
      <c r="E217" s="13" t="s">
        <v>712</v>
      </c>
      <c r="F217" s="13" t="s">
        <v>713</v>
      </c>
      <c r="G217" s="61" t="n">
        <v>2084307178</v>
      </c>
      <c r="H217" s="13" t="s">
        <v>1435</v>
      </c>
      <c r="I217" s="13"/>
      <c r="J217" s="13" t="s">
        <v>1452</v>
      </c>
      <c r="K217" s="13" t="s">
        <v>606</v>
      </c>
      <c r="L217" s="13" t="s">
        <v>1443</v>
      </c>
      <c r="M217" s="13"/>
    </row>
    <row r="218" customFormat="false" ht="15" hidden="false" customHeight="false" outlineLevel="0" collapsed="false">
      <c r="A218" s="13" t="s">
        <v>595</v>
      </c>
      <c r="B218" s="13" t="s">
        <v>594</v>
      </c>
      <c r="C218" s="13" t="s">
        <v>1444</v>
      </c>
      <c r="D218" s="13" t="s">
        <v>59</v>
      </c>
      <c r="E218" s="13" t="s">
        <v>712</v>
      </c>
      <c r="F218" s="13" t="s">
        <v>713</v>
      </c>
      <c r="G218" s="61" t="n">
        <v>2986519826</v>
      </c>
      <c r="H218" s="13" t="s">
        <v>1435</v>
      </c>
      <c r="I218" s="13"/>
      <c r="J218" s="13" t="s">
        <v>1453</v>
      </c>
      <c r="K218" s="13" t="s">
        <v>607</v>
      </c>
      <c r="L218" s="13" t="s">
        <v>1443</v>
      </c>
      <c r="M218" s="13"/>
    </row>
    <row r="219" customFormat="false" ht="15" hidden="false" customHeight="false" outlineLevel="0" collapsed="false">
      <c r="A219" s="13" t="s">
        <v>595</v>
      </c>
      <c r="B219" s="13" t="s">
        <v>594</v>
      </c>
      <c r="C219" s="13" t="s">
        <v>1446</v>
      </c>
      <c r="D219" s="13" t="s">
        <v>59</v>
      </c>
      <c r="E219" s="13" t="s">
        <v>712</v>
      </c>
      <c r="F219" s="13" t="s">
        <v>713</v>
      </c>
      <c r="G219" s="61" t="n">
        <v>3851470413</v>
      </c>
      <c r="H219" s="13" t="s">
        <v>1435</v>
      </c>
      <c r="I219" s="13"/>
      <c r="J219" s="13" t="s">
        <v>1454</v>
      </c>
      <c r="K219" s="13" t="s">
        <v>608</v>
      </c>
      <c r="L219" s="13" t="s">
        <v>1443</v>
      </c>
      <c r="M219" s="13"/>
    </row>
    <row r="220" customFormat="false" ht="15" hidden="false" customHeight="false" outlineLevel="0" collapsed="false">
      <c r="A220" s="13" t="s">
        <v>595</v>
      </c>
      <c r="B220" s="13" t="s">
        <v>594</v>
      </c>
      <c r="C220" s="13" t="s">
        <v>1448</v>
      </c>
      <c r="D220" s="13" t="s">
        <v>59</v>
      </c>
      <c r="E220" s="13" t="s">
        <v>712</v>
      </c>
      <c r="F220" s="13" t="s">
        <v>713</v>
      </c>
      <c r="G220" s="61" t="n">
        <v>5159594606</v>
      </c>
      <c r="H220" s="13" t="s">
        <v>1435</v>
      </c>
      <c r="I220" s="13"/>
      <c r="J220" s="13" t="s">
        <v>1455</v>
      </c>
      <c r="K220" s="13" t="s">
        <v>609</v>
      </c>
      <c r="L220" s="13" t="s">
        <v>1443</v>
      </c>
      <c r="M220" s="13"/>
    </row>
    <row r="221" customFormat="false" ht="15" hidden="false" customHeight="false" outlineLevel="0" collapsed="false">
      <c r="A221" s="13" t="s">
        <v>595</v>
      </c>
      <c r="B221" s="13" t="s">
        <v>594</v>
      </c>
      <c r="C221" s="13" t="s">
        <v>1439</v>
      </c>
      <c r="D221" s="13" t="s">
        <v>59</v>
      </c>
      <c r="E221" s="13" t="s">
        <v>715</v>
      </c>
      <c r="F221" s="13" t="s">
        <v>716</v>
      </c>
      <c r="G221" s="61" t="n">
        <v>1118956971</v>
      </c>
      <c r="H221" s="13" t="s">
        <v>1435</v>
      </c>
      <c r="I221" s="13"/>
      <c r="J221" s="13" t="s">
        <v>1452</v>
      </c>
      <c r="K221" s="13" t="s">
        <v>1441</v>
      </c>
      <c r="L221" s="13" t="s">
        <v>1438</v>
      </c>
      <c r="M221" s="13"/>
    </row>
    <row r="222" customFormat="false" ht="15" hidden="false" customHeight="false" outlineLevel="0" collapsed="false">
      <c r="A222" s="13" t="s">
        <v>595</v>
      </c>
      <c r="B222" s="13" t="s">
        <v>594</v>
      </c>
      <c r="C222" s="13" t="s">
        <v>1442</v>
      </c>
      <c r="D222" s="13" t="s">
        <v>59</v>
      </c>
      <c r="E222" s="13" t="s">
        <v>715</v>
      </c>
      <c r="F222" s="13" t="s">
        <v>716</v>
      </c>
      <c r="G222" s="61" t="n">
        <v>1406842329</v>
      </c>
      <c r="H222" s="13" t="s">
        <v>1435</v>
      </c>
      <c r="I222" s="13"/>
      <c r="J222" s="13" t="s">
        <v>1452</v>
      </c>
      <c r="K222" s="13" t="s">
        <v>606</v>
      </c>
      <c r="L222" s="13" t="s">
        <v>1443</v>
      </c>
      <c r="M222" s="13"/>
    </row>
    <row r="223" customFormat="false" ht="15" hidden="false" customHeight="false" outlineLevel="0" collapsed="false">
      <c r="A223" s="13" t="s">
        <v>595</v>
      </c>
      <c r="B223" s="13" t="s">
        <v>594</v>
      </c>
      <c r="C223" s="13" t="s">
        <v>1444</v>
      </c>
      <c r="D223" s="13" t="s">
        <v>59</v>
      </c>
      <c r="E223" s="13" t="s">
        <v>715</v>
      </c>
      <c r="F223" s="13" t="s">
        <v>716</v>
      </c>
      <c r="G223" s="61" t="n">
        <v>912381292</v>
      </c>
      <c r="H223" s="13" t="s">
        <v>1435</v>
      </c>
      <c r="I223" s="13"/>
      <c r="J223" s="13" t="s">
        <v>1453</v>
      </c>
      <c r="K223" s="13" t="s">
        <v>607</v>
      </c>
      <c r="L223" s="13" t="s">
        <v>1443</v>
      </c>
      <c r="M223" s="13"/>
    </row>
    <row r="224" customFormat="false" ht="15" hidden="false" customHeight="false" outlineLevel="0" collapsed="false">
      <c r="A224" s="13" t="s">
        <v>595</v>
      </c>
      <c r="B224" s="13" t="s">
        <v>594</v>
      </c>
      <c r="C224" s="13" t="s">
        <v>1446</v>
      </c>
      <c r="D224" s="13" t="s">
        <v>59</v>
      </c>
      <c r="E224" s="13" t="s">
        <v>715</v>
      </c>
      <c r="F224" s="13" t="s">
        <v>716</v>
      </c>
      <c r="G224" s="61" t="n">
        <v>287577361</v>
      </c>
      <c r="H224" s="13" t="s">
        <v>1435</v>
      </c>
      <c r="I224" s="13"/>
      <c r="J224" s="13" t="s">
        <v>1454</v>
      </c>
      <c r="K224" s="13" t="s">
        <v>608</v>
      </c>
      <c r="L224" s="13" t="s">
        <v>1443</v>
      </c>
      <c r="M224" s="13"/>
    </row>
    <row r="225" customFormat="false" ht="15" hidden="false" customHeight="false" outlineLevel="0" collapsed="false">
      <c r="A225" s="13" t="s">
        <v>595</v>
      </c>
      <c r="B225" s="13" t="s">
        <v>594</v>
      </c>
      <c r="C225" s="13" t="s">
        <v>1448</v>
      </c>
      <c r="D225" s="13" t="s">
        <v>59</v>
      </c>
      <c r="E225" s="13" t="s">
        <v>715</v>
      </c>
      <c r="F225" s="13" t="s">
        <v>716</v>
      </c>
      <c r="G225" s="61" t="n">
        <v>168458214</v>
      </c>
      <c r="H225" s="13" t="s">
        <v>1435</v>
      </c>
      <c r="I225" s="13"/>
      <c r="J225" s="13" t="s">
        <v>1455</v>
      </c>
      <c r="K225" s="13" t="s">
        <v>609</v>
      </c>
      <c r="L225" s="13" t="s">
        <v>1443</v>
      </c>
      <c r="M225" s="13"/>
    </row>
    <row r="226" customFormat="false" ht="15" hidden="false" customHeight="false" outlineLevel="0" collapsed="false">
      <c r="A226" s="13" t="s">
        <v>595</v>
      </c>
      <c r="B226" s="13" t="s">
        <v>594</v>
      </c>
      <c r="C226" s="13" t="s">
        <v>1439</v>
      </c>
      <c r="D226" s="13" t="s">
        <v>59</v>
      </c>
      <c r="E226" s="13" t="s">
        <v>718</v>
      </c>
      <c r="F226" s="13" t="s">
        <v>719</v>
      </c>
      <c r="G226" s="61" t="n">
        <v>1770788841</v>
      </c>
      <c r="H226" s="13" t="s">
        <v>1435</v>
      </c>
      <c r="I226" s="13"/>
      <c r="J226" s="13" t="s">
        <v>1452</v>
      </c>
      <c r="K226" s="13" t="s">
        <v>1441</v>
      </c>
      <c r="L226" s="13" t="s">
        <v>1438</v>
      </c>
      <c r="M226" s="13"/>
    </row>
    <row r="227" customFormat="false" ht="15" hidden="false" customHeight="false" outlineLevel="0" collapsed="false">
      <c r="A227" s="13" t="s">
        <v>595</v>
      </c>
      <c r="B227" s="13" t="s">
        <v>594</v>
      </c>
      <c r="C227" s="13" t="s">
        <v>1442</v>
      </c>
      <c r="D227" s="13" t="s">
        <v>59</v>
      </c>
      <c r="E227" s="13" t="s">
        <v>718</v>
      </c>
      <c r="F227" s="13" t="s">
        <v>719</v>
      </c>
      <c r="G227" s="61" t="n">
        <v>1278259408</v>
      </c>
      <c r="H227" s="13" t="s">
        <v>1435</v>
      </c>
      <c r="I227" s="13"/>
      <c r="J227" s="13" t="s">
        <v>1452</v>
      </c>
      <c r="K227" s="13" t="s">
        <v>606</v>
      </c>
      <c r="L227" s="13" t="s">
        <v>1443</v>
      </c>
      <c r="M227" s="13"/>
    </row>
    <row r="228" customFormat="false" ht="15" hidden="false" customHeight="false" outlineLevel="0" collapsed="false">
      <c r="A228" s="13" t="s">
        <v>595</v>
      </c>
      <c r="B228" s="13" t="s">
        <v>594</v>
      </c>
      <c r="C228" s="13" t="s">
        <v>1444</v>
      </c>
      <c r="D228" s="13" t="s">
        <v>59</v>
      </c>
      <c r="E228" s="13" t="s">
        <v>718</v>
      </c>
      <c r="F228" s="13" t="s">
        <v>719</v>
      </c>
      <c r="G228" s="61" t="n">
        <v>882555505</v>
      </c>
      <c r="H228" s="13" t="s">
        <v>1435</v>
      </c>
      <c r="I228" s="13"/>
      <c r="J228" s="13" t="s">
        <v>1453</v>
      </c>
      <c r="K228" s="13" t="s">
        <v>607</v>
      </c>
      <c r="L228" s="13" t="s">
        <v>1443</v>
      </c>
      <c r="M228" s="13"/>
    </row>
    <row r="229" customFormat="false" ht="15" hidden="false" customHeight="false" outlineLevel="0" collapsed="false">
      <c r="A229" s="13" t="s">
        <v>595</v>
      </c>
      <c r="B229" s="13" t="s">
        <v>594</v>
      </c>
      <c r="C229" s="13" t="s">
        <v>1446</v>
      </c>
      <c r="D229" s="13" t="s">
        <v>59</v>
      </c>
      <c r="E229" s="13" t="s">
        <v>718</v>
      </c>
      <c r="F229" s="13" t="s">
        <v>719</v>
      </c>
      <c r="G229" s="61" t="n">
        <v>1327674901</v>
      </c>
      <c r="H229" s="13" t="s">
        <v>1435</v>
      </c>
      <c r="I229" s="13"/>
      <c r="J229" s="13" t="s">
        <v>1454</v>
      </c>
      <c r="K229" s="13" t="s">
        <v>608</v>
      </c>
      <c r="L229" s="13" t="s">
        <v>1443</v>
      </c>
      <c r="M229" s="13"/>
    </row>
    <row r="230" customFormat="false" ht="15" hidden="false" customHeight="false" outlineLevel="0" collapsed="false">
      <c r="A230" s="13" t="s">
        <v>595</v>
      </c>
      <c r="B230" s="13" t="s">
        <v>594</v>
      </c>
      <c r="C230" s="13" t="s">
        <v>1448</v>
      </c>
      <c r="D230" s="13" t="s">
        <v>59</v>
      </c>
      <c r="E230" s="13" t="s">
        <v>718</v>
      </c>
      <c r="F230" s="13" t="s">
        <v>719</v>
      </c>
      <c r="G230" s="61" t="n">
        <v>39617692</v>
      </c>
      <c r="H230" s="13" t="s">
        <v>1435</v>
      </c>
      <c r="I230" s="13"/>
      <c r="J230" s="13" t="s">
        <v>1455</v>
      </c>
      <c r="K230" s="13" t="s">
        <v>609</v>
      </c>
      <c r="L230" s="13" t="s">
        <v>1443</v>
      </c>
      <c r="M230" s="13"/>
    </row>
    <row r="231" customFormat="false" ht="15" hidden="false" customHeight="false" outlineLevel="0" collapsed="false">
      <c r="A231" s="13" t="s">
        <v>595</v>
      </c>
      <c r="B231" s="13" t="s">
        <v>594</v>
      </c>
      <c r="C231" s="13" t="s">
        <v>1434</v>
      </c>
      <c r="D231" s="13" t="s">
        <v>59</v>
      </c>
      <c r="E231" s="13" t="s">
        <v>721</v>
      </c>
      <c r="F231" s="13" t="s">
        <v>383</v>
      </c>
      <c r="G231" s="61" t="n">
        <v>1989727315</v>
      </c>
      <c r="H231" s="13" t="s">
        <v>1435</v>
      </c>
      <c r="I231" s="13"/>
      <c r="J231" s="13" t="s">
        <v>1451</v>
      </c>
      <c r="K231" s="13" t="s">
        <v>1437</v>
      </c>
      <c r="L231" s="13" t="s">
        <v>1438</v>
      </c>
      <c r="M231" s="13"/>
    </row>
    <row r="232" customFormat="false" ht="15" hidden="false" customHeight="false" outlineLevel="0" collapsed="false">
      <c r="A232" s="13" t="s">
        <v>595</v>
      </c>
      <c r="B232" s="13" t="s">
        <v>594</v>
      </c>
      <c r="C232" s="13" t="s">
        <v>1434</v>
      </c>
      <c r="D232" s="13" t="s">
        <v>59</v>
      </c>
      <c r="E232" s="13" t="s">
        <v>723</v>
      </c>
      <c r="F232" s="13" t="s">
        <v>386</v>
      </c>
      <c r="G232" s="61" t="n">
        <v>781853202675</v>
      </c>
      <c r="H232" s="13" t="s">
        <v>1435</v>
      </c>
      <c r="I232" s="13"/>
      <c r="J232" s="13"/>
      <c r="K232" s="13" t="s">
        <v>1437</v>
      </c>
      <c r="L232" s="13" t="s">
        <v>1438</v>
      </c>
      <c r="M232" s="13" t="s">
        <v>1450</v>
      </c>
    </row>
    <row r="233" customFormat="false" ht="15" hidden="false" customHeight="false" outlineLevel="0" collapsed="false">
      <c r="A233" s="13" t="s">
        <v>595</v>
      </c>
      <c r="B233" s="13" t="s">
        <v>594</v>
      </c>
      <c r="C233" s="13" t="s">
        <v>1439</v>
      </c>
      <c r="D233" s="13" t="s">
        <v>59</v>
      </c>
      <c r="E233" s="13" t="s">
        <v>723</v>
      </c>
      <c r="F233" s="13" t="s">
        <v>386</v>
      </c>
      <c r="G233" s="61" t="n">
        <v>1254261046809</v>
      </c>
      <c r="H233" s="13" t="s">
        <v>1435</v>
      </c>
      <c r="I233" s="13"/>
      <c r="J233" s="13"/>
      <c r="K233" s="13" t="s">
        <v>1441</v>
      </c>
      <c r="L233" s="13" t="s">
        <v>1438</v>
      </c>
      <c r="M233" s="13" t="s">
        <v>1450</v>
      </c>
    </row>
    <row r="234" customFormat="false" ht="15" hidden="false" customHeight="false" outlineLevel="0" collapsed="false">
      <c r="A234" s="13" t="s">
        <v>595</v>
      </c>
      <c r="B234" s="13" t="s">
        <v>594</v>
      </c>
      <c r="C234" s="13" t="s">
        <v>1442</v>
      </c>
      <c r="D234" s="13" t="s">
        <v>59</v>
      </c>
      <c r="E234" s="13" t="s">
        <v>723</v>
      </c>
      <c r="F234" s="13" t="s">
        <v>386</v>
      </c>
      <c r="G234" s="61" t="n">
        <v>881622483502</v>
      </c>
      <c r="H234" s="13" t="s">
        <v>1435</v>
      </c>
      <c r="I234" s="13"/>
      <c r="J234" s="13"/>
      <c r="K234" s="13" t="s">
        <v>606</v>
      </c>
      <c r="L234" s="13" t="s">
        <v>1443</v>
      </c>
      <c r="M234" s="13" t="s">
        <v>1450</v>
      </c>
    </row>
    <row r="235" customFormat="false" ht="15" hidden="false" customHeight="false" outlineLevel="0" collapsed="false">
      <c r="A235" s="13" t="s">
        <v>595</v>
      </c>
      <c r="B235" s="13" t="s">
        <v>594</v>
      </c>
      <c r="C235" s="13" t="s">
        <v>1444</v>
      </c>
      <c r="D235" s="13" t="s">
        <v>59</v>
      </c>
      <c r="E235" s="13" t="s">
        <v>723</v>
      </c>
      <c r="F235" s="13" t="s">
        <v>386</v>
      </c>
      <c r="G235" s="61" t="n">
        <v>794519472582</v>
      </c>
      <c r="H235" s="13" t="s">
        <v>1435</v>
      </c>
      <c r="I235" s="13"/>
      <c r="J235" s="13"/>
      <c r="K235" s="13" t="s">
        <v>607</v>
      </c>
      <c r="L235" s="13" t="s">
        <v>1443</v>
      </c>
      <c r="M235" s="13" t="s">
        <v>1450</v>
      </c>
    </row>
    <row r="236" customFormat="false" ht="15" hidden="false" customHeight="false" outlineLevel="0" collapsed="false">
      <c r="A236" s="13" t="s">
        <v>595</v>
      </c>
      <c r="B236" s="13" t="s">
        <v>594</v>
      </c>
      <c r="C236" s="13" t="s">
        <v>1446</v>
      </c>
      <c r="D236" s="13" t="s">
        <v>59</v>
      </c>
      <c r="E236" s="13" t="s">
        <v>723</v>
      </c>
      <c r="F236" s="13" t="s">
        <v>386</v>
      </c>
      <c r="G236" s="61" t="n">
        <v>543316240373</v>
      </c>
      <c r="H236" s="13" t="s">
        <v>1435</v>
      </c>
      <c r="I236" s="13"/>
      <c r="J236" s="13"/>
      <c r="K236" s="13" t="s">
        <v>608</v>
      </c>
      <c r="L236" s="13" t="s">
        <v>1443</v>
      </c>
      <c r="M236" s="13" t="s">
        <v>1450</v>
      </c>
    </row>
    <row r="237" customFormat="false" ht="15" hidden="false" customHeight="false" outlineLevel="0" collapsed="false">
      <c r="A237" s="13" t="s">
        <v>595</v>
      </c>
      <c r="B237" s="13" t="s">
        <v>594</v>
      </c>
      <c r="C237" s="13" t="s">
        <v>1448</v>
      </c>
      <c r="D237" s="13" t="s">
        <v>59</v>
      </c>
      <c r="E237" s="13" t="s">
        <v>723</v>
      </c>
      <c r="F237" s="13" t="s">
        <v>386</v>
      </c>
      <c r="G237" s="61" t="n">
        <v>513916984019</v>
      </c>
      <c r="H237" s="13" t="s">
        <v>1435</v>
      </c>
      <c r="I237" s="13"/>
      <c r="J237" s="13"/>
      <c r="K237" s="13" t="s">
        <v>609</v>
      </c>
      <c r="L237" s="13" t="s">
        <v>1443</v>
      </c>
      <c r="M237" s="13" t="s">
        <v>1450</v>
      </c>
    </row>
    <row r="238" customFormat="false" ht="15" hidden="false" customHeight="false" outlineLevel="0" collapsed="false">
      <c r="A238" s="13" t="s">
        <v>595</v>
      </c>
      <c r="B238" s="13" t="s">
        <v>594</v>
      </c>
      <c r="C238" s="13" t="s">
        <v>1434</v>
      </c>
      <c r="D238" s="13" t="s">
        <v>59</v>
      </c>
      <c r="E238" s="13" t="s">
        <v>724</v>
      </c>
      <c r="F238" s="13" t="s">
        <v>388</v>
      </c>
      <c r="G238" s="61" t="n">
        <v>2175317280881</v>
      </c>
      <c r="H238" s="13" t="s">
        <v>1435</v>
      </c>
      <c r="I238" s="13"/>
      <c r="J238" s="13" t="s">
        <v>1451</v>
      </c>
      <c r="K238" s="13" t="s">
        <v>1437</v>
      </c>
      <c r="L238" s="13" t="s">
        <v>1438</v>
      </c>
      <c r="M238" s="13"/>
    </row>
    <row r="239" customFormat="false" ht="15" hidden="false" customHeight="false" outlineLevel="0" collapsed="false">
      <c r="A239" s="13" t="s">
        <v>595</v>
      </c>
      <c r="B239" s="13" t="s">
        <v>594</v>
      </c>
      <c r="C239" s="13" t="s">
        <v>1439</v>
      </c>
      <c r="D239" s="13" t="s">
        <v>59</v>
      </c>
      <c r="E239" s="13" t="s">
        <v>724</v>
      </c>
      <c r="F239" s="13" t="s">
        <v>388</v>
      </c>
      <c r="G239" s="61" t="n">
        <v>2915791008035</v>
      </c>
      <c r="H239" s="13" t="s">
        <v>1435</v>
      </c>
      <c r="I239" s="13"/>
      <c r="J239" s="13" t="s">
        <v>1452</v>
      </c>
      <c r="K239" s="13" t="s">
        <v>1441</v>
      </c>
      <c r="L239" s="13" t="s">
        <v>1438</v>
      </c>
      <c r="M239" s="13"/>
    </row>
    <row r="240" customFormat="false" ht="15" hidden="false" customHeight="false" outlineLevel="0" collapsed="false">
      <c r="A240" s="13" t="s">
        <v>595</v>
      </c>
      <c r="B240" s="13" t="s">
        <v>594</v>
      </c>
      <c r="C240" s="13" t="s">
        <v>1442</v>
      </c>
      <c r="D240" s="13" t="s">
        <v>59</v>
      </c>
      <c r="E240" s="13" t="s">
        <v>724</v>
      </c>
      <c r="F240" s="13" t="s">
        <v>388</v>
      </c>
      <c r="G240" s="61" t="n">
        <v>3337354211724</v>
      </c>
      <c r="H240" s="13" t="s">
        <v>1435</v>
      </c>
      <c r="I240" s="13"/>
      <c r="J240" s="13" t="s">
        <v>1452</v>
      </c>
      <c r="K240" s="13" t="s">
        <v>606</v>
      </c>
      <c r="L240" s="13" t="s">
        <v>1443</v>
      </c>
      <c r="M240" s="13"/>
    </row>
    <row r="241" customFormat="false" ht="15" hidden="false" customHeight="false" outlineLevel="0" collapsed="false">
      <c r="A241" s="13" t="s">
        <v>595</v>
      </c>
      <c r="B241" s="13" t="s">
        <v>594</v>
      </c>
      <c r="C241" s="13" t="s">
        <v>1444</v>
      </c>
      <c r="D241" s="13" t="s">
        <v>59</v>
      </c>
      <c r="E241" s="13" t="s">
        <v>724</v>
      </c>
      <c r="F241" s="13" t="s">
        <v>388</v>
      </c>
      <c r="G241" s="61" t="n">
        <v>3330399614118</v>
      </c>
      <c r="H241" s="13" t="s">
        <v>1435</v>
      </c>
      <c r="I241" s="13"/>
      <c r="J241" s="13" t="s">
        <v>1453</v>
      </c>
      <c r="K241" s="13" t="s">
        <v>607</v>
      </c>
      <c r="L241" s="13" t="s">
        <v>1443</v>
      </c>
      <c r="M241" s="13"/>
    </row>
    <row r="242" customFormat="false" ht="15" hidden="false" customHeight="false" outlineLevel="0" collapsed="false">
      <c r="A242" s="13" t="s">
        <v>595</v>
      </c>
      <c r="B242" s="13" t="s">
        <v>594</v>
      </c>
      <c r="C242" s="13" t="s">
        <v>1446</v>
      </c>
      <c r="D242" s="13" t="s">
        <v>59</v>
      </c>
      <c r="E242" s="13" t="s">
        <v>724</v>
      </c>
      <c r="F242" s="13" t="s">
        <v>388</v>
      </c>
      <c r="G242" s="61" t="n">
        <v>3257425244004</v>
      </c>
      <c r="H242" s="13" t="s">
        <v>1435</v>
      </c>
      <c r="I242" s="13"/>
      <c r="J242" s="13" t="s">
        <v>1454</v>
      </c>
      <c r="K242" s="13" t="s">
        <v>608</v>
      </c>
      <c r="L242" s="13" t="s">
        <v>1443</v>
      </c>
      <c r="M242" s="13"/>
    </row>
    <row r="243" customFormat="false" ht="15" hidden="false" customHeight="false" outlineLevel="0" collapsed="false">
      <c r="A243" s="13" t="s">
        <v>595</v>
      </c>
      <c r="B243" s="13" t="s">
        <v>594</v>
      </c>
      <c r="C243" s="13" t="s">
        <v>1448</v>
      </c>
      <c r="D243" s="13" t="s">
        <v>59</v>
      </c>
      <c r="E243" s="13" t="s">
        <v>724</v>
      </c>
      <c r="F243" s="13" t="s">
        <v>388</v>
      </c>
      <c r="G243" s="61" t="n">
        <v>3272592245462</v>
      </c>
      <c r="H243" s="13" t="s">
        <v>1435</v>
      </c>
      <c r="I243" s="13"/>
      <c r="J243" s="13" t="s">
        <v>1455</v>
      </c>
      <c r="K243" s="13" t="s">
        <v>609</v>
      </c>
      <c r="L243" s="13" t="s">
        <v>1443</v>
      </c>
      <c r="M243" s="13"/>
    </row>
    <row r="244" customFormat="false" ht="15" hidden="false" customHeight="false" outlineLevel="0" collapsed="false">
      <c r="A244" s="13" t="s">
        <v>595</v>
      </c>
      <c r="B244" s="13" t="s">
        <v>594</v>
      </c>
      <c r="C244" s="13" t="s">
        <v>1434</v>
      </c>
      <c r="D244" s="13" t="s">
        <v>59</v>
      </c>
      <c r="E244" s="13" t="s">
        <v>726</v>
      </c>
      <c r="F244" s="13" t="s">
        <v>390</v>
      </c>
      <c r="G244" s="61" t="n">
        <v>7024470936</v>
      </c>
      <c r="H244" s="13" t="s">
        <v>1435</v>
      </c>
      <c r="I244" s="13"/>
      <c r="J244" s="13" t="s">
        <v>1451</v>
      </c>
      <c r="K244" s="13" t="s">
        <v>1437</v>
      </c>
      <c r="L244" s="13" t="s">
        <v>1438</v>
      </c>
      <c r="M244" s="13"/>
    </row>
    <row r="245" customFormat="false" ht="15" hidden="false" customHeight="false" outlineLevel="0" collapsed="false">
      <c r="A245" s="13" t="s">
        <v>595</v>
      </c>
      <c r="B245" s="13" t="s">
        <v>594</v>
      </c>
      <c r="C245" s="13" t="s">
        <v>1439</v>
      </c>
      <c r="D245" s="13" t="s">
        <v>59</v>
      </c>
      <c r="E245" s="13" t="s">
        <v>726</v>
      </c>
      <c r="F245" s="13" t="s">
        <v>390</v>
      </c>
      <c r="G245" s="61" t="n">
        <v>6971681464</v>
      </c>
      <c r="H245" s="13" t="s">
        <v>1435</v>
      </c>
      <c r="I245" s="13"/>
      <c r="J245" s="13" t="s">
        <v>1452</v>
      </c>
      <c r="K245" s="13" t="s">
        <v>1441</v>
      </c>
      <c r="L245" s="13" t="s">
        <v>1438</v>
      </c>
      <c r="M245" s="13"/>
    </row>
    <row r="246" customFormat="false" ht="15" hidden="false" customHeight="false" outlineLevel="0" collapsed="false">
      <c r="A246" s="13" t="s">
        <v>595</v>
      </c>
      <c r="B246" s="13" t="s">
        <v>594</v>
      </c>
      <c r="C246" s="13" t="s">
        <v>1442</v>
      </c>
      <c r="D246" s="13" t="s">
        <v>59</v>
      </c>
      <c r="E246" s="13" t="s">
        <v>726</v>
      </c>
      <c r="F246" s="13" t="s">
        <v>390</v>
      </c>
      <c r="G246" s="61" t="n">
        <v>6971681464</v>
      </c>
      <c r="H246" s="13" t="s">
        <v>1435</v>
      </c>
      <c r="I246" s="13"/>
      <c r="J246" s="13" t="s">
        <v>1452</v>
      </c>
      <c r="K246" s="13" t="s">
        <v>606</v>
      </c>
      <c r="L246" s="13" t="s">
        <v>1443</v>
      </c>
      <c r="M246" s="13"/>
    </row>
    <row r="247" customFormat="false" ht="15" hidden="false" customHeight="false" outlineLevel="0" collapsed="false">
      <c r="A247" s="13" t="s">
        <v>595</v>
      </c>
      <c r="B247" s="13" t="s">
        <v>594</v>
      </c>
      <c r="C247" s="13" t="s">
        <v>1444</v>
      </c>
      <c r="D247" s="13" t="s">
        <v>59</v>
      </c>
      <c r="E247" s="13" t="s">
        <v>726</v>
      </c>
      <c r="F247" s="13" t="s">
        <v>390</v>
      </c>
      <c r="G247" s="61" t="n">
        <v>6971681464</v>
      </c>
      <c r="H247" s="13" t="s">
        <v>1435</v>
      </c>
      <c r="I247" s="13"/>
      <c r="J247" s="13" t="s">
        <v>1453</v>
      </c>
      <c r="K247" s="13" t="s">
        <v>607</v>
      </c>
      <c r="L247" s="13" t="s">
        <v>1443</v>
      </c>
      <c r="M247" s="13"/>
    </row>
    <row r="248" customFormat="false" ht="15" hidden="false" customHeight="false" outlineLevel="0" collapsed="false">
      <c r="A248" s="13" t="s">
        <v>595</v>
      </c>
      <c r="B248" s="13" t="s">
        <v>594</v>
      </c>
      <c r="C248" s="13" t="s">
        <v>1446</v>
      </c>
      <c r="D248" s="13" t="s">
        <v>59</v>
      </c>
      <c r="E248" s="13" t="s">
        <v>726</v>
      </c>
      <c r="F248" s="13" t="s">
        <v>390</v>
      </c>
      <c r="G248" s="61" t="n">
        <v>0</v>
      </c>
      <c r="H248" s="13" t="s">
        <v>1435</v>
      </c>
      <c r="I248" s="13"/>
      <c r="J248" s="13" t="s">
        <v>1454</v>
      </c>
      <c r="K248" s="13" t="s">
        <v>608</v>
      </c>
      <c r="L248" s="13" t="s">
        <v>1443</v>
      </c>
      <c r="M248" s="13"/>
    </row>
    <row r="249" customFormat="false" ht="15" hidden="false" customHeight="false" outlineLevel="0" collapsed="false">
      <c r="A249" s="13" t="s">
        <v>595</v>
      </c>
      <c r="B249" s="13" t="s">
        <v>594</v>
      </c>
      <c r="C249" s="13" t="s">
        <v>1434</v>
      </c>
      <c r="D249" s="13" t="s">
        <v>59</v>
      </c>
      <c r="E249" s="13" t="s">
        <v>728</v>
      </c>
      <c r="F249" s="13" t="s">
        <v>729</v>
      </c>
      <c r="G249" s="61" t="n">
        <v>1969259816</v>
      </c>
      <c r="H249" s="13" t="s">
        <v>1435</v>
      </c>
      <c r="I249" s="13"/>
      <c r="J249" s="13" t="s">
        <v>1451</v>
      </c>
      <c r="K249" s="13" t="s">
        <v>1437</v>
      </c>
      <c r="L249" s="13" t="s">
        <v>1438</v>
      </c>
      <c r="M249" s="13"/>
    </row>
    <row r="250" customFormat="false" ht="15" hidden="false" customHeight="false" outlineLevel="0" collapsed="false">
      <c r="A250" s="13" t="s">
        <v>595</v>
      </c>
      <c r="B250" s="13" t="s">
        <v>594</v>
      </c>
      <c r="C250" s="13" t="s">
        <v>1439</v>
      </c>
      <c r="D250" s="13" t="s">
        <v>59</v>
      </c>
      <c r="E250" s="13" t="s">
        <v>728</v>
      </c>
      <c r="F250" s="13" t="s">
        <v>729</v>
      </c>
      <c r="G250" s="61" t="n">
        <v>6097463738</v>
      </c>
      <c r="H250" s="13" t="s">
        <v>1435</v>
      </c>
      <c r="I250" s="13"/>
      <c r="J250" s="13" t="s">
        <v>1452</v>
      </c>
      <c r="K250" s="13" t="s">
        <v>1441</v>
      </c>
      <c r="L250" s="13" t="s">
        <v>1438</v>
      </c>
      <c r="M250" s="13"/>
    </row>
    <row r="251" customFormat="false" ht="15" hidden="false" customHeight="false" outlineLevel="0" collapsed="false">
      <c r="A251" s="13" t="s">
        <v>595</v>
      </c>
      <c r="B251" s="13" t="s">
        <v>594</v>
      </c>
      <c r="C251" s="13" t="s">
        <v>1442</v>
      </c>
      <c r="D251" s="13" t="s">
        <v>59</v>
      </c>
      <c r="E251" s="13" t="s">
        <v>728</v>
      </c>
      <c r="F251" s="13" t="s">
        <v>729</v>
      </c>
      <c r="G251" s="61" t="n">
        <v>2251911265</v>
      </c>
      <c r="H251" s="13" t="s">
        <v>1435</v>
      </c>
      <c r="I251" s="13"/>
      <c r="J251" s="13" t="s">
        <v>1452</v>
      </c>
      <c r="K251" s="13" t="s">
        <v>606</v>
      </c>
      <c r="L251" s="13" t="s">
        <v>1443</v>
      </c>
      <c r="M251" s="13"/>
    </row>
    <row r="252" customFormat="false" ht="15" hidden="false" customHeight="false" outlineLevel="0" collapsed="false">
      <c r="A252" s="13" t="s">
        <v>595</v>
      </c>
      <c r="B252" s="13" t="s">
        <v>594</v>
      </c>
      <c r="C252" s="13" t="s">
        <v>1444</v>
      </c>
      <c r="D252" s="13" t="s">
        <v>59</v>
      </c>
      <c r="E252" s="13" t="s">
        <v>728</v>
      </c>
      <c r="F252" s="13" t="s">
        <v>729</v>
      </c>
      <c r="G252" s="61" t="n">
        <v>1365138297</v>
      </c>
      <c r="H252" s="13" t="s">
        <v>1435</v>
      </c>
      <c r="I252" s="13"/>
      <c r="J252" s="13" t="s">
        <v>1453</v>
      </c>
      <c r="K252" s="13" t="s">
        <v>607</v>
      </c>
      <c r="L252" s="13" t="s">
        <v>1443</v>
      </c>
      <c r="M252" s="13"/>
    </row>
    <row r="253" customFormat="false" ht="15" hidden="false" customHeight="false" outlineLevel="0" collapsed="false">
      <c r="A253" s="13" t="s">
        <v>595</v>
      </c>
      <c r="B253" s="13" t="s">
        <v>594</v>
      </c>
      <c r="C253" s="13" t="s">
        <v>1446</v>
      </c>
      <c r="D253" s="13" t="s">
        <v>59</v>
      </c>
      <c r="E253" s="13" t="s">
        <v>728</v>
      </c>
      <c r="F253" s="13" t="s">
        <v>729</v>
      </c>
      <c r="G253" s="61" t="n">
        <v>1153962483</v>
      </c>
      <c r="H253" s="13" t="s">
        <v>1435</v>
      </c>
      <c r="I253" s="13"/>
      <c r="J253" s="13" t="s">
        <v>1454</v>
      </c>
      <c r="K253" s="13" t="s">
        <v>608</v>
      </c>
      <c r="L253" s="13" t="s">
        <v>1443</v>
      </c>
      <c r="M253" s="13"/>
    </row>
    <row r="254" customFormat="false" ht="15" hidden="false" customHeight="false" outlineLevel="0" collapsed="false">
      <c r="A254" s="13" t="s">
        <v>595</v>
      </c>
      <c r="B254" s="13" t="s">
        <v>594</v>
      </c>
      <c r="C254" s="13" t="s">
        <v>1448</v>
      </c>
      <c r="D254" s="13" t="s">
        <v>59</v>
      </c>
      <c r="E254" s="13" t="s">
        <v>728</v>
      </c>
      <c r="F254" s="13" t="s">
        <v>729</v>
      </c>
      <c r="G254" s="61" t="n">
        <v>1313984823</v>
      </c>
      <c r="H254" s="13" t="s">
        <v>1435</v>
      </c>
      <c r="I254" s="13"/>
      <c r="J254" s="13" t="s">
        <v>1455</v>
      </c>
      <c r="K254" s="13" t="s">
        <v>609</v>
      </c>
      <c r="L254" s="13" t="s">
        <v>1443</v>
      </c>
      <c r="M254" s="13"/>
    </row>
    <row r="255" customFormat="false" ht="15" hidden="false" customHeight="false" outlineLevel="0" collapsed="false">
      <c r="A255" s="13" t="s">
        <v>595</v>
      </c>
      <c r="B255" s="13" t="s">
        <v>594</v>
      </c>
      <c r="C255" s="13" t="s">
        <v>1434</v>
      </c>
      <c r="D255" s="13" t="s">
        <v>59</v>
      </c>
      <c r="E255" s="13" t="s">
        <v>731</v>
      </c>
      <c r="F255" s="13" t="s">
        <v>732</v>
      </c>
      <c r="G255" s="61" t="n">
        <v>479507049845</v>
      </c>
      <c r="H255" s="13" t="s">
        <v>1435</v>
      </c>
      <c r="I255" s="13"/>
      <c r="J255" s="13" t="s">
        <v>1451</v>
      </c>
      <c r="K255" s="13" t="s">
        <v>1437</v>
      </c>
      <c r="L255" s="13" t="s">
        <v>1438</v>
      </c>
      <c r="M255" s="13"/>
    </row>
    <row r="256" customFormat="false" ht="15" hidden="false" customHeight="false" outlineLevel="0" collapsed="false">
      <c r="A256" s="13" t="s">
        <v>595</v>
      </c>
      <c r="B256" s="13" t="s">
        <v>594</v>
      </c>
      <c r="C256" s="13" t="s">
        <v>1439</v>
      </c>
      <c r="D256" s="13" t="s">
        <v>59</v>
      </c>
      <c r="E256" s="13" t="s">
        <v>731</v>
      </c>
      <c r="F256" s="13" t="s">
        <v>732</v>
      </c>
      <c r="G256" s="61" t="n">
        <v>28090602212</v>
      </c>
      <c r="H256" s="13" t="s">
        <v>1435</v>
      </c>
      <c r="I256" s="13"/>
      <c r="J256" s="13" t="s">
        <v>1452</v>
      </c>
      <c r="K256" s="13" t="s">
        <v>1441</v>
      </c>
      <c r="L256" s="13" t="s">
        <v>1438</v>
      </c>
      <c r="M256" s="13"/>
    </row>
    <row r="257" customFormat="false" ht="15" hidden="false" customHeight="false" outlineLevel="0" collapsed="false">
      <c r="A257" s="13" t="s">
        <v>595</v>
      </c>
      <c r="B257" s="13" t="s">
        <v>594</v>
      </c>
      <c r="C257" s="13" t="s">
        <v>1442</v>
      </c>
      <c r="D257" s="13" t="s">
        <v>59</v>
      </c>
      <c r="E257" s="13" t="s">
        <v>731</v>
      </c>
      <c r="F257" s="13" t="s">
        <v>732</v>
      </c>
      <c r="G257" s="61" t="n">
        <v>6420844457</v>
      </c>
      <c r="H257" s="13" t="s">
        <v>1435</v>
      </c>
      <c r="I257" s="13"/>
      <c r="J257" s="13" t="s">
        <v>1452</v>
      </c>
      <c r="K257" s="13" t="s">
        <v>606</v>
      </c>
      <c r="L257" s="13" t="s">
        <v>1443</v>
      </c>
      <c r="M257" s="13"/>
    </row>
    <row r="258" customFormat="false" ht="15" hidden="false" customHeight="false" outlineLevel="0" collapsed="false">
      <c r="A258" s="13" t="s">
        <v>595</v>
      </c>
      <c r="B258" s="13" t="s">
        <v>594</v>
      </c>
      <c r="C258" s="13" t="s">
        <v>1444</v>
      </c>
      <c r="D258" s="13" t="s">
        <v>59</v>
      </c>
      <c r="E258" s="13" t="s">
        <v>731</v>
      </c>
      <c r="F258" s="13" t="s">
        <v>732</v>
      </c>
      <c r="G258" s="61" t="n">
        <v>3750351252</v>
      </c>
      <c r="H258" s="13" t="s">
        <v>1435</v>
      </c>
      <c r="I258" s="13"/>
      <c r="J258" s="13" t="s">
        <v>1453</v>
      </c>
      <c r="K258" s="13" t="s">
        <v>607</v>
      </c>
      <c r="L258" s="13" t="s">
        <v>1443</v>
      </c>
      <c r="M258" s="13"/>
    </row>
    <row r="259" customFormat="false" ht="15" hidden="false" customHeight="false" outlineLevel="0" collapsed="false">
      <c r="A259" s="13" t="s">
        <v>595</v>
      </c>
      <c r="B259" s="13" t="s">
        <v>594</v>
      </c>
      <c r="C259" s="13" t="s">
        <v>1446</v>
      </c>
      <c r="D259" s="13" t="s">
        <v>59</v>
      </c>
      <c r="E259" s="13" t="s">
        <v>731</v>
      </c>
      <c r="F259" s="13" t="s">
        <v>732</v>
      </c>
      <c r="G259" s="61" t="n">
        <v>219209965524</v>
      </c>
      <c r="H259" s="13" t="s">
        <v>1435</v>
      </c>
      <c r="I259" s="13"/>
      <c r="J259" s="13" t="s">
        <v>1454</v>
      </c>
      <c r="K259" s="13" t="s">
        <v>608</v>
      </c>
      <c r="L259" s="13" t="s">
        <v>1443</v>
      </c>
      <c r="M259" s="13"/>
    </row>
    <row r="260" customFormat="false" ht="15" hidden="false" customHeight="false" outlineLevel="0" collapsed="false">
      <c r="A260" s="13" t="s">
        <v>595</v>
      </c>
      <c r="B260" s="13" t="s">
        <v>594</v>
      </c>
      <c r="C260" s="13" t="s">
        <v>1448</v>
      </c>
      <c r="D260" s="13" t="s">
        <v>59</v>
      </c>
      <c r="E260" s="13" t="s">
        <v>731</v>
      </c>
      <c r="F260" s="13" t="s">
        <v>732</v>
      </c>
      <c r="G260" s="61" t="n">
        <v>388105716461</v>
      </c>
      <c r="H260" s="13" t="s">
        <v>1435</v>
      </c>
      <c r="I260" s="13"/>
      <c r="J260" s="13" t="s">
        <v>1455</v>
      </c>
      <c r="K260" s="13" t="s">
        <v>609</v>
      </c>
      <c r="L260" s="13" t="s">
        <v>1443</v>
      </c>
      <c r="M260" s="13"/>
    </row>
    <row r="261" customFormat="false" ht="15" hidden="false" customHeight="false" outlineLevel="0" collapsed="false">
      <c r="A261" s="13" t="s">
        <v>595</v>
      </c>
      <c r="B261" s="13" t="s">
        <v>594</v>
      </c>
      <c r="C261" s="13" t="s">
        <v>1434</v>
      </c>
      <c r="D261" s="13" t="s">
        <v>59</v>
      </c>
      <c r="E261" s="13" t="s">
        <v>734</v>
      </c>
      <c r="F261" s="13" t="s">
        <v>395</v>
      </c>
      <c r="G261" s="61" t="n">
        <v>2663818061478</v>
      </c>
      <c r="H261" s="13" t="s">
        <v>1435</v>
      </c>
      <c r="I261" s="13"/>
      <c r="J261" s="13"/>
      <c r="K261" s="13" t="s">
        <v>1437</v>
      </c>
      <c r="L261" s="13" t="s">
        <v>1438</v>
      </c>
      <c r="M261" s="13" t="s">
        <v>1450</v>
      </c>
    </row>
    <row r="262" customFormat="false" ht="15" hidden="false" customHeight="false" outlineLevel="0" collapsed="false">
      <c r="A262" s="13" t="s">
        <v>595</v>
      </c>
      <c r="B262" s="13" t="s">
        <v>594</v>
      </c>
      <c r="C262" s="13" t="s">
        <v>1439</v>
      </c>
      <c r="D262" s="13" t="s">
        <v>59</v>
      </c>
      <c r="E262" s="13" t="s">
        <v>734</v>
      </c>
      <c r="F262" s="13" t="s">
        <v>395</v>
      </c>
      <c r="G262" s="61" t="n">
        <v>2956950755449</v>
      </c>
      <c r="H262" s="13" t="s">
        <v>1435</v>
      </c>
      <c r="I262" s="13"/>
      <c r="J262" s="13"/>
      <c r="K262" s="13" t="s">
        <v>1441</v>
      </c>
      <c r="L262" s="13" t="s">
        <v>1438</v>
      </c>
      <c r="M262" s="13" t="s">
        <v>1450</v>
      </c>
    </row>
    <row r="263" customFormat="false" ht="15" hidden="false" customHeight="false" outlineLevel="0" collapsed="false">
      <c r="A263" s="13" t="s">
        <v>595</v>
      </c>
      <c r="B263" s="13" t="s">
        <v>594</v>
      </c>
      <c r="C263" s="13" t="s">
        <v>1442</v>
      </c>
      <c r="D263" s="13" t="s">
        <v>59</v>
      </c>
      <c r="E263" s="13" t="s">
        <v>734</v>
      </c>
      <c r="F263" s="13" t="s">
        <v>395</v>
      </c>
      <c r="G263" s="61" t="n">
        <v>3352998648910</v>
      </c>
      <c r="H263" s="13" t="s">
        <v>1435</v>
      </c>
      <c r="I263" s="13"/>
      <c r="J263" s="13"/>
      <c r="K263" s="13" t="s">
        <v>606</v>
      </c>
      <c r="L263" s="13" t="s">
        <v>1443</v>
      </c>
      <c r="M263" s="13" t="s">
        <v>1450</v>
      </c>
    </row>
    <row r="264" customFormat="false" ht="15" hidden="false" customHeight="false" outlineLevel="0" collapsed="false">
      <c r="A264" s="13" t="s">
        <v>595</v>
      </c>
      <c r="B264" s="13" t="s">
        <v>594</v>
      </c>
      <c r="C264" s="13" t="s">
        <v>1444</v>
      </c>
      <c r="D264" s="13" t="s">
        <v>59</v>
      </c>
      <c r="E264" s="13" t="s">
        <v>734</v>
      </c>
      <c r="F264" s="13" t="s">
        <v>395</v>
      </c>
      <c r="G264" s="61" t="n">
        <v>3342486785131</v>
      </c>
      <c r="H264" s="13" t="s">
        <v>1435</v>
      </c>
      <c r="I264" s="13"/>
      <c r="J264" s="13"/>
      <c r="K264" s="13" t="s">
        <v>607</v>
      </c>
      <c r="L264" s="13" t="s">
        <v>1443</v>
      </c>
      <c r="M264" s="13" t="s">
        <v>1450</v>
      </c>
    </row>
    <row r="265" customFormat="false" ht="15" hidden="false" customHeight="false" outlineLevel="0" collapsed="false">
      <c r="A265" s="13" t="s">
        <v>595</v>
      </c>
      <c r="B265" s="13" t="s">
        <v>594</v>
      </c>
      <c r="C265" s="13" t="s">
        <v>1446</v>
      </c>
      <c r="D265" s="13" t="s">
        <v>59</v>
      </c>
      <c r="E265" s="13" t="s">
        <v>734</v>
      </c>
      <c r="F265" s="13" t="s">
        <v>395</v>
      </c>
      <c r="G265" s="61" t="n">
        <v>3477789172011</v>
      </c>
      <c r="H265" s="13" t="s">
        <v>1435</v>
      </c>
      <c r="I265" s="13"/>
      <c r="J265" s="13"/>
      <c r="K265" s="13" t="s">
        <v>608</v>
      </c>
      <c r="L265" s="13" t="s">
        <v>1443</v>
      </c>
      <c r="M265" s="13" t="s">
        <v>1450</v>
      </c>
    </row>
    <row r="266" customFormat="false" ht="15" hidden="false" customHeight="false" outlineLevel="0" collapsed="false">
      <c r="A266" s="13" t="s">
        <v>595</v>
      </c>
      <c r="B266" s="13" t="s">
        <v>594</v>
      </c>
      <c r="C266" s="13" t="s">
        <v>1448</v>
      </c>
      <c r="D266" s="13" t="s">
        <v>59</v>
      </c>
      <c r="E266" s="13" t="s">
        <v>734</v>
      </c>
      <c r="F266" s="13" t="s">
        <v>395</v>
      </c>
      <c r="G266" s="61" t="n">
        <v>3662011946746</v>
      </c>
      <c r="H266" s="13" t="s">
        <v>1435</v>
      </c>
      <c r="I266" s="13"/>
      <c r="J266" s="13"/>
      <c r="K266" s="13" t="s">
        <v>609</v>
      </c>
      <c r="L266" s="13" t="s">
        <v>1443</v>
      </c>
      <c r="M266" s="13" t="s">
        <v>1450</v>
      </c>
    </row>
    <row r="267" customFormat="false" ht="15" hidden="false" customHeight="false" outlineLevel="0" collapsed="false">
      <c r="A267" s="13" t="s">
        <v>595</v>
      </c>
      <c r="B267" s="13" t="s">
        <v>594</v>
      </c>
      <c r="C267" s="13" t="s">
        <v>1434</v>
      </c>
      <c r="D267" s="13" t="s">
        <v>59</v>
      </c>
      <c r="E267" s="13" t="s">
        <v>735</v>
      </c>
      <c r="F267" s="13" t="s">
        <v>397</v>
      </c>
      <c r="G267" s="61" t="n">
        <v>3445671264153</v>
      </c>
      <c r="H267" s="13" t="s">
        <v>1435</v>
      </c>
      <c r="I267" s="13"/>
      <c r="J267" s="13"/>
      <c r="K267" s="13" t="s">
        <v>1437</v>
      </c>
      <c r="L267" s="13" t="s">
        <v>1438</v>
      </c>
      <c r="M267" s="13" t="s">
        <v>1450</v>
      </c>
    </row>
    <row r="268" customFormat="false" ht="15" hidden="false" customHeight="false" outlineLevel="0" collapsed="false">
      <c r="A268" s="13" t="s">
        <v>595</v>
      </c>
      <c r="B268" s="13" t="s">
        <v>594</v>
      </c>
      <c r="C268" s="13" t="s">
        <v>1439</v>
      </c>
      <c r="D268" s="13" t="s">
        <v>59</v>
      </c>
      <c r="E268" s="13" t="s">
        <v>735</v>
      </c>
      <c r="F268" s="13" t="s">
        <v>397</v>
      </c>
      <c r="G268" s="61" t="n">
        <v>4211211802258</v>
      </c>
      <c r="H268" s="13" t="s">
        <v>1435</v>
      </c>
      <c r="I268" s="13"/>
      <c r="J268" s="13"/>
      <c r="K268" s="13" t="s">
        <v>1441</v>
      </c>
      <c r="L268" s="13" t="s">
        <v>1438</v>
      </c>
      <c r="M268" s="13" t="s">
        <v>1450</v>
      </c>
    </row>
    <row r="269" customFormat="false" ht="15" hidden="false" customHeight="false" outlineLevel="0" collapsed="false">
      <c r="A269" s="13" t="s">
        <v>595</v>
      </c>
      <c r="B269" s="13" t="s">
        <v>594</v>
      </c>
      <c r="C269" s="13" t="s">
        <v>1442</v>
      </c>
      <c r="D269" s="13" t="s">
        <v>59</v>
      </c>
      <c r="E269" s="13" t="s">
        <v>735</v>
      </c>
      <c r="F269" s="13" t="s">
        <v>397</v>
      </c>
      <c r="G269" s="61" t="n">
        <v>4234621132412</v>
      </c>
      <c r="H269" s="13" t="s">
        <v>1435</v>
      </c>
      <c r="I269" s="13"/>
      <c r="J269" s="13"/>
      <c r="K269" s="13" t="s">
        <v>606</v>
      </c>
      <c r="L269" s="13" t="s">
        <v>1443</v>
      </c>
      <c r="M269" s="13" t="s">
        <v>1450</v>
      </c>
    </row>
    <row r="270" customFormat="false" ht="15" hidden="false" customHeight="false" outlineLevel="0" collapsed="false">
      <c r="A270" s="13" t="s">
        <v>595</v>
      </c>
      <c r="B270" s="13" t="s">
        <v>594</v>
      </c>
      <c r="C270" s="13" t="s">
        <v>1444</v>
      </c>
      <c r="D270" s="13" t="s">
        <v>59</v>
      </c>
      <c r="E270" s="13" t="s">
        <v>735</v>
      </c>
      <c r="F270" s="13" t="s">
        <v>397</v>
      </c>
      <c r="G270" s="61" t="n">
        <v>4137006257713</v>
      </c>
      <c r="H270" s="13" t="s">
        <v>1435</v>
      </c>
      <c r="I270" s="13"/>
      <c r="J270" s="13"/>
      <c r="K270" s="13" t="s">
        <v>607</v>
      </c>
      <c r="L270" s="13" t="s">
        <v>1443</v>
      </c>
      <c r="M270" s="13" t="s">
        <v>1450</v>
      </c>
    </row>
    <row r="271" customFormat="false" ht="15" hidden="false" customHeight="false" outlineLevel="0" collapsed="false">
      <c r="A271" s="13" t="s">
        <v>595</v>
      </c>
      <c r="B271" s="13" t="s">
        <v>594</v>
      </c>
      <c r="C271" s="13" t="s">
        <v>1446</v>
      </c>
      <c r="D271" s="13" t="s">
        <v>59</v>
      </c>
      <c r="E271" s="13" t="s">
        <v>735</v>
      </c>
      <c r="F271" s="13" t="s">
        <v>397</v>
      </c>
      <c r="G271" s="61" t="n">
        <v>4021105412384</v>
      </c>
      <c r="H271" s="13" t="s">
        <v>1435</v>
      </c>
      <c r="I271" s="13"/>
      <c r="J271" s="13"/>
      <c r="K271" s="13" t="s">
        <v>608</v>
      </c>
      <c r="L271" s="13" t="s">
        <v>1443</v>
      </c>
      <c r="M271" s="13" t="s">
        <v>1450</v>
      </c>
    </row>
    <row r="272" customFormat="false" ht="15" hidden="false" customHeight="false" outlineLevel="0" collapsed="false">
      <c r="A272" s="13" t="s">
        <v>595</v>
      </c>
      <c r="B272" s="13" t="s">
        <v>594</v>
      </c>
      <c r="C272" s="13" t="s">
        <v>1448</v>
      </c>
      <c r="D272" s="13" t="s">
        <v>59</v>
      </c>
      <c r="E272" s="13" t="s">
        <v>735</v>
      </c>
      <c r="F272" s="13" t="s">
        <v>397</v>
      </c>
      <c r="G272" s="61" t="n">
        <v>4175928930765</v>
      </c>
      <c r="H272" s="13" t="s">
        <v>1435</v>
      </c>
      <c r="I272" s="13"/>
      <c r="J272" s="13"/>
      <c r="K272" s="13" t="s">
        <v>609</v>
      </c>
      <c r="L272" s="13" t="s">
        <v>1443</v>
      </c>
      <c r="M272" s="13" t="s">
        <v>1450</v>
      </c>
    </row>
    <row r="273" customFormat="false" ht="15" hidden="false" customHeight="false" outlineLevel="0" collapsed="false">
      <c r="A273" s="13" t="s">
        <v>595</v>
      </c>
      <c r="B273" s="13" t="s">
        <v>594</v>
      </c>
      <c r="C273" s="13" t="s">
        <v>1434</v>
      </c>
      <c r="D273" s="13" t="s">
        <v>59</v>
      </c>
      <c r="E273" s="13" t="s">
        <v>736</v>
      </c>
      <c r="F273" s="13" t="s">
        <v>737</v>
      </c>
      <c r="G273" s="61" t="n">
        <v>12963780723</v>
      </c>
      <c r="H273" s="13" t="s">
        <v>1435</v>
      </c>
      <c r="I273" s="13"/>
      <c r="J273" s="13" t="s">
        <v>1451</v>
      </c>
      <c r="K273" s="13" t="s">
        <v>1437</v>
      </c>
      <c r="L273" s="13" t="s">
        <v>1438</v>
      </c>
      <c r="M273" s="13"/>
    </row>
    <row r="274" customFormat="false" ht="15" hidden="false" customHeight="false" outlineLevel="0" collapsed="false">
      <c r="A274" s="13" t="s">
        <v>595</v>
      </c>
      <c r="B274" s="13" t="s">
        <v>594</v>
      </c>
      <c r="C274" s="13" t="s">
        <v>1439</v>
      </c>
      <c r="D274" s="13" t="s">
        <v>59</v>
      </c>
      <c r="E274" s="13" t="s">
        <v>736</v>
      </c>
      <c r="F274" s="13" t="s">
        <v>737</v>
      </c>
      <c r="G274" s="61" t="n">
        <v>2991703325</v>
      </c>
      <c r="H274" s="13" t="s">
        <v>1435</v>
      </c>
      <c r="I274" s="13"/>
      <c r="J274" s="13" t="s">
        <v>1456</v>
      </c>
      <c r="K274" s="13" t="s">
        <v>1441</v>
      </c>
      <c r="L274" s="13" t="s">
        <v>1438</v>
      </c>
      <c r="M274" s="13"/>
    </row>
    <row r="275" customFormat="false" ht="15" hidden="false" customHeight="false" outlineLevel="0" collapsed="false">
      <c r="A275" s="13" t="s">
        <v>595</v>
      </c>
      <c r="B275" s="13" t="s">
        <v>594</v>
      </c>
      <c r="C275" s="13" t="s">
        <v>1442</v>
      </c>
      <c r="D275" s="13" t="s">
        <v>59</v>
      </c>
      <c r="E275" s="13" t="s">
        <v>736</v>
      </c>
      <c r="F275" s="13" t="s">
        <v>737</v>
      </c>
      <c r="G275" s="61" t="n">
        <v>129665344429</v>
      </c>
      <c r="H275" s="13" t="s">
        <v>1435</v>
      </c>
      <c r="I275" s="13"/>
      <c r="J275" s="13" t="s">
        <v>1456</v>
      </c>
      <c r="K275" s="13" t="s">
        <v>606</v>
      </c>
      <c r="L275" s="13" t="s">
        <v>1443</v>
      </c>
      <c r="M275" s="13"/>
    </row>
    <row r="276" customFormat="false" ht="15" hidden="false" customHeight="false" outlineLevel="0" collapsed="false">
      <c r="A276" s="13" t="s">
        <v>595</v>
      </c>
      <c r="B276" s="13" t="s">
        <v>594</v>
      </c>
      <c r="C276" s="13" t="s">
        <v>1444</v>
      </c>
      <c r="D276" s="13" t="s">
        <v>59</v>
      </c>
      <c r="E276" s="13" t="s">
        <v>736</v>
      </c>
      <c r="F276" s="13" t="s">
        <v>737</v>
      </c>
      <c r="G276" s="61" t="n">
        <v>141562028547</v>
      </c>
      <c r="H276" s="13" t="s">
        <v>1435</v>
      </c>
      <c r="I276" s="13"/>
      <c r="J276" s="13" t="s">
        <v>1457</v>
      </c>
      <c r="K276" s="13" t="s">
        <v>607</v>
      </c>
      <c r="L276" s="13" t="s">
        <v>1443</v>
      </c>
      <c r="M276" s="13"/>
    </row>
    <row r="277" customFormat="false" ht="15" hidden="false" customHeight="false" outlineLevel="0" collapsed="false">
      <c r="A277" s="13" t="s">
        <v>595</v>
      </c>
      <c r="B277" s="13" t="s">
        <v>594</v>
      </c>
      <c r="C277" s="13" t="s">
        <v>1446</v>
      </c>
      <c r="D277" s="13" t="s">
        <v>59</v>
      </c>
      <c r="E277" s="13" t="s">
        <v>736</v>
      </c>
      <c r="F277" s="13" t="s">
        <v>737</v>
      </c>
      <c r="G277" s="61" t="n">
        <v>784583691204</v>
      </c>
      <c r="H277" s="13" t="s">
        <v>1435</v>
      </c>
      <c r="I277" s="13"/>
      <c r="J277" s="13" t="s">
        <v>1458</v>
      </c>
      <c r="K277" s="13" t="s">
        <v>608</v>
      </c>
      <c r="L277" s="13" t="s">
        <v>1443</v>
      </c>
      <c r="M277" s="13"/>
    </row>
    <row r="278" customFormat="false" ht="15" hidden="false" customHeight="false" outlineLevel="0" collapsed="false">
      <c r="A278" s="13" t="s">
        <v>595</v>
      </c>
      <c r="B278" s="13" t="s">
        <v>594</v>
      </c>
      <c r="C278" s="13" t="s">
        <v>1448</v>
      </c>
      <c r="D278" s="13" t="s">
        <v>59</v>
      </c>
      <c r="E278" s="13" t="s">
        <v>736</v>
      </c>
      <c r="F278" s="13" t="s">
        <v>737</v>
      </c>
      <c r="G278" s="61" t="n">
        <v>14999351279</v>
      </c>
      <c r="H278" s="13" t="s">
        <v>1435</v>
      </c>
      <c r="I278" s="13"/>
      <c r="J278" s="13" t="s">
        <v>1459</v>
      </c>
      <c r="K278" s="13" t="s">
        <v>609</v>
      </c>
      <c r="L278" s="13" t="s">
        <v>1443</v>
      </c>
      <c r="M278" s="13"/>
    </row>
    <row r="279" customFormat="false" ht="15" hidden="false" customHeight="false" outlineLevel="0" collapsed="false">
      <c r="A279" s="13" t="s">
        <v>595</v>
      </c>
      <c r="B279" s="13" t="s">
        <v>594</v>
      </c>
      <c r="C279" s="13" t="s">
        <v>1434</v>
      </c>
      <c r="D279" s="13" t="s">
        <v>59</v>
      </c>
      <c r="E279" s="13" t="s">
        <v>739</v>
      </c>
      <c r="F279" s="13" t="s">
        <v>400</v>
      </c>
      <c r="G279" s="61" t="n">
        <v>10821912088</v>
      </c>
      <c r="H279" s="13" t="s">
        <v>1435</v>
      </c>
      <c r="I279" s="13"/>
      <c r="J279" s="13" t="s">
        <v>1451</v>
      </c>
      <c r="K279" s="13" t="s">
        <v>1437</v>
      </c>
      <c r="L279" s="13" t="s">
        <v>1438</v>
      </c>
      <c r="M279" s="13"/>
    </row>
    <row r="280" customFormat="false" ht="15" hidden="false" customHeight="false" outlineLevel="0" collapsed="false">
      <c r="A280" s="13" t="s">
        <v>595</v>
      </c>
      <c r="B280" s="13" t="s">
        <v>594</v>
      </c>
      <c r="C280" s="13" t="s">
        <v>1439</v>
      </c>
      <c r="D280" s="13" t="s">
        <v>59</v>
      </c>
      <c r="E280" s="13" t="s">
        <v>739</v>
      </c>
      <c r="F280" s="13" t="s">
        <v>400</v>
      </c>
      <c r="G280" s="61" t="n">
        <v>14656750351</v>
      </c>
      <c r="H280" s="13" t="s">
        <v>1435</v>
      </c>
      <c r="I280" s="13"/>
      <c r="J280" s="13" t="s">
        <v>1456</v>
      </c>
      <c r="K280" s="13" t="s">
        <v>1441</v>
      </c>
      <c r="L280" s="13" t="s">
        <v>1438</v>
      </c>
      <c r="M280" s="13"/>
    </row>
    <row r="281" customFormat="false" ht="15" hidden="false" customHeight="false" outlineLevel="0" collapsed="false">
      <c r="A281" s="13" t="s">
        <v>595</v>
      </c>
      <c r="B281" s="13" t="s">
        <v>594</v>
      </c>
      <c r="C281" s="13" t="s">
        <v>1442</v>
      </c>
      <c r="D281" s="13" t="s">
        <v>59</v>
      </c>
      <c r="E281" s="13" t="s">
        <v>739</v>
      </c>
      <c r="F281" s="13" t="s">
        <v>400</v>
      </c>
      <c r="G281" s="61" t="n">
        <v>26875586517</v>
      </c>
      <c r="H281" s="13" t="s">
        <v>1435</v>
      </c>
      <c r="I281" s="13"/>
      <c r="J281" s="13" t="s">
        <v>1456</v>
      </c>
      <c r="K281" s="13" t="s">
        <v>606</v>
      </c>
      <c r="L281" s="13" t="s">
        <v>1443</v>
      </c>
      <c r="M281" s="13"/>
    </row>
    <row r="282" customFormat="false" ht="15" hidden="false" customHeight="false" outlineLevel="0" collapsed="false">
      <c r="A282" s="13" t="s">
        <v>595</v>
      </c>
      <c r="B282" s="13" t="s">
        <v>594</v>
      </c>
      <c r="C282" s="13" t="s">
        <v>1444</v>
      </c>
      <c r="D282" s="13" t="s">
        <v>59</v>
      </c>
      <c r="E282" s="13" t="s">
        <v>739</v>
      </c>
      <c r="F282" s="13" t="s">
        <v>400</v>
      </c>
      <c r="G282" s="61" t="n">
        <v>42532889111</v>
      </c>
      <c r="H282" s="13" t="s">
        <v>1435</v>
      </c>
      <c r="I282" s="13"/>
      <c r="J282" s="13" t="s">
        <v>1457</v>
      </c>
      <c r="K282" s="13" t="s">
        <v>607</v>
      </c>
      <c r="L282" s="13" t="s">
        <v>1443</v>
      </c>
      <c r="M282" s="13"/>
    </row>
    <row r="283" customFormat="false" ht="15" hidden="false" customHeight="false" outlineLevel="0" collapsed="false">
      <c r="A283" s="13" t="s">
        <v>595</v>
      </c>
      <c r="B283" s="13" t="s">
        <v>594</v>
      </c>
      <c r="C283" s="13" t="s">
        <v>1446</v>
      </c>
      <c r="D283" s="13" t="s">
        <v>59</v>
      </c>
      <c r="E283" s="13" t="s">
        <v>739</v>
      </c>
      <c r="F283" s="13" t="s">
        <v>400</v>
      </c>
      <c r="G283" s="61" t="n">
        <v>25121215698</v>
      </c>
      <c r="H283" s="13" t="s">
        <v>1435</v>
      </c>
      <c r="I283" s="13"/>
      <c r="J283" s="13" t="s">
        <v>1458</v>
      </c>
      <c r="K283" s="13" t="s">
        <v>608</v>
      </c>
      <c r="L283" s="13" t="s">
        <v>1443</v>
      </c>
      <c r="M283" s="13"/>
    </row>
    <row r="284" customFormat="false" ht="15" hidden="false" customHeight="false" outlineLevel="0" collapsed="false">
      <c r="A284" s="13" t="s">
        <v>595</v>
      </c>
      <c r="B284" s="13" t="s">
        <v>594</v>
      </c>
      <c r="C284" s="13" t="s">
        <v>1448</v>
      </c>
      <c r="D284" s="13" t="s">
        <v>59</v>
      </c>
      <c r="E284" s="13" t="s">
        <v>739</v>
      </c>
      <c r="F284" s="13" t="s">
        <v>400</v>
      </c>
      <c r="G284" s="61" t="n">
        <v>21151058333</v>
      </c>
      <c r="H284" s="13" t="s">
        <v>1435</v>
      </c>
      <c r="I284" s="13"/>
      <c r="J284" s="13" t="s">
        <v>1459</v>
      </c>
      <c r="K284" s="13" t="s">
        <v>609</v>
      </c>
      <c r="L284" s="13" t="s">
        <v>1443</v>
      </c>
      <c r="M284" s="13"/>
    </row>
    <row r="285" customFormat="false" ht="15" hidden="false" customHeight="false" outlineLevel="0" collapsed="false">
      <c r="A285" s="13" t="s">
        <v>595</v>
      </c>
      <c r="B285" s="13" t="s">
        <v>594</v>
      </c>
      <c r="C285" s="13" t="s">
        <v>1434</v>
      </c>
      <c r="D285" s="13" t="s">
        <v>59</v>
      </c>
      <c r="E285" s="13" t="s">
        <v>741</v>
      </c>
      <c r="F285" s="13" t="s">
        <v>742</v>
      </c>
      <c r="G285" s="61" t="n">
        <v>1054065771</v>
      </c>
      <c r="H285" s="13" t="s">
        <v>1435</v>
      </c>
      <c r="I285" s="13"/>
      <c r="J285" s="13" t="s">
        <v>1451</v>
      </c>
      <c r="K285" s="13" t="s">
        <v>1437</v>
      </c>
      <c r="L285" s="13" t="s">
        <v>1438</v>
      </c>
      <c r="M285" s="13"/>
    </row>
    <row r="286" customFormat="false" ht="15" hidden="false" customHeight="false" outlineLevel="0" collapsed="false">
      <c r="A286" s="13" t="s">
        <v>595</v>
      </c>
      <c r="B286" s="13" t="s">
        <v>594</v>
      </c>
      <c r="C286" s="13" t="s">
        <v>1439</v>
      </c>
      <c r="D286" s="13" t="s">
        <v>59</v>
      </c>
      <c r="E286" s="13" t="s">
        <v>741</v>
      </c>
      <c r="F286" s="13" t="s">
        <v>742</v>
      </c>
      <c r="G286" s="61" t="n">
        <v>13910668126</v>
      </c>
      <c r="H286" s="13" t="s">
        <v>1435</v>
      </c>
      <c r="I286" s="13"/>
      <c r="J286" s="13" t="s">
        <v>1456</v>
      </c>
      <c r="K286" s="13" t="s">
        <v>1441</v>
      </c>
      <c r="L286" s="13" t="s">
        <v>1438</v>
      </c>
      <c r="M286" s="13"/>
    </row>
    <row r="287" customFormat="false" ht="15" hidden="false" customHeight="false" outlineLevel="0" collapsed="false">
      <c r="A287" s="13" t="s">
        <v>595</v>
      </c>
      <c r="B287" s="13" t="s">
        <v>594</v>
      </c>
      <c r="C287" s="13" t="s">
        <v>1442</v>
      </c>
      <c r="D287" s="13" t="s">
        <v>59</v>
      </c>
      <c r="E287" s="13" t="s">
        <v>741</v>
      </c>
      <c r="F287" s="13" t="s">
        <v>742</v>
      </c>
      <c r="G287" s="61" t="n">
        <v>118942040</v>
      </c>
      <c r="H287" s="13" t="s">
        <v>1435</v>
      </c>
      <c r="I287" s="13"/>
      <c r="J287" s="13" t="s">
        <v>1456</v>
      </c>
      <c r="K287" s="13" t="s">
        <v>606</v>
      </c>
      <c r="L287" s="13" t="s">
        <v>1443</v>
      </c>
      <c r="M287" s="13"/>
    </row>
    <row r="288" customFormat="false" ht="15" hidden="false" customHeight="false" outlineLevel="0" collapsed="false">
      <c r="A288" s="13" t="s">
        <v>595</v>
      </c>
      <c r="B288" s="13" t="s">
        <v>594</v>
      </c>
      <c r="C288" s="13" t="s">
        <v>1444</v>
      </c>
      <c r="D288" s="13" t="s">
        <v>59</v>
      </c>
      <c r="E288" s="13" t="s">
        <v>741</v>
      </c>
      <c r="F288" s="13" t="s">
        <v>742</v>
      </c>
      <c r="G288" s="61" t="n">
        <v>101870631</v>
      </c>
      <c r="H288" s="13" t="s">
        <v>1435</v>
      </c>
      <c r="I288" s="13"/>
      <c r="J288" s="13" t="s">
        <v>1457</v>
      </c>
      <c r="K288" s="13" t="s">
        <v>607</v>
      </c>
      <c r="L288" s="13" t="s">
        <v>1443</v>
      </c>
      <c r="M288" s="13"/>
    </row>
    <row r="289" customFormat="false" ht="15" hidden="false" customHeight="false" outlineLevel="0" collapsed="false">
      <c r="A289" s="13" t="s">
        <v>595</v>
      </c>
      <c r="B289" s="13" t="s">
        <v>594</v>
      </c>
      <c r="C289" s="13" t="s">
        <v>1446</v>
      </c>
      <c r="D289" s="13" t="s">
        <v>59</v>
      </c>
      <c r="E289" s="13" t="s">
        <v>741</v>
      </c>
      <c r="F289" s="13" t="s">
        <v>742</v>
      </c>
      <c r="G289" s="61" t="n">
        <v>110965776</v>
      </c>
      <c r="H289" s="13" t="s">
        <v>1435</v>
      </c>
      <c r="I289" s="13"/>
      <c r="J289" s="13" t="s">
        <v>1458</v>
      </c>
      <c r="K289" s="13" t="s">
        <v>608</v>
      </c>
      <c r="L289" s="13" t="s">
        <v>1443</v>
      </c>
      <c r="M289" s="13"/>
    </row>
    <row r="290" customFormat="false" ht="15" hidden="false" customHeight="false" outlineLevel="0" collapsed="false">
      <c r="A290" s="13" t="s">
        <v>595</v>
      </c>
      <c r="B290" s="13" t="s">
        <v>594</v>
      </c>
      <c r="C290" s="13" t="s">
        <v>1448</v>
      </c>
      <c r="D290" s="13" t="s">
        <v>59</v>
      </c>
      <c r="E290" s="13" t="s">
        <v>741</v>
      </c>
      <c r="F290" s="13" t="s">
        <v>742</v>
      </c>
      <c r="G290" s="61" t="n">
        <v>165705249</v>
      </c>
      <c r="H290" s="13" t="s">
        <v>1435</v>
      </c>
      <c r="I290" s="13"/>
      <c r="J290" s="13" t="s">
        <v>1459</v>
      </c>
      <c r="K290" s="13" t="s">
        <v>609</v>
      </c>
      <c r="L290" s="13" t="s">
        <v>1443</v>
      </c>
      <c r="M290" s="13"/>
    </row>
    <row r="291" customFormat="false" ht="15" hidden="false" customHeight="false" outlineLevel="0" collapsed="false">
      <c r="A291" s="13" t="s">
        <v>595</v>
      </c>
      <c r="B291" s="13" t="s">
        <v>594</v>
      </c>
      <c r="C291" s="13" t="s">
        <v>1434</v>
      </c>
      <c r="D291" s="13" t="s">
        <v>59</v>
      </c>
      <c r="E291" s="13" t="s">
        <v>744</v>
      </c>
      <c r="F291" s="13" t="s">
        <v>745</v>
      </c>
      <c r="G291" s="61" t="n">
        <v>5582268383</v>
      </c>
      <c r="H291" s="13" t="s">
        <v>1435</v>
      </c>
      <c r="I291" s="13"/>
      <c r="J291" s="13" t="s">
        <v>1451</v>
      </c>
      <c r="K291" s="13" t="s">
        <v>1437</v>
      </c>
      <c r="L291" s="13" t="s">
        <v>1438</v>
      </c>
      <c r="M291" s="13"/>
    </row>
    <row r="292" customFormat="false" ht="15" hidden="false" customHeight="false" outlineLevel="0" collapsed="false">
      <c r="A292" s="13" t="s">
        <v>595</v>
      </c>
      <c r="B292" s="13" t="s">
        <v>594</v>
      </c>
      <c r="C292" s="13" t="s">
        <v>1439</v>
      </c>
      <c r="D292" s="13" t="s">
        <v>59</v>
      </c>
      <c r="E292" s="13" t="s">
        <v>744</v>
      </c>
      <c r="F292" s="13" t="s">
        <v>745</v>
      </c>
      <c r="G292" s="61" t="n">
        <v>8348663320</v>
      </c>
      <c r="H292" s="13" t="s">
        <v>1435</v>
      </c>
      <c r="I292" s="13"/>
      <c r="J292" s="13" t="s">
        <v>1456</v>
      </c>
      <c r="K292" s="13" t="s">
        <v>1441</v>
      </c>
      <c r="L292" s="13" t="s">
        <v>1438</v>
      </c>
      <c r="M292" s="13"/>
    </row>
    <row r="293" customFormat="false" ht="15" hidden="false" customHeight="false" outlineLevel="0" collapsed="false">
      <c r="A293" s="13" t="s">
        <v>595</v>
      </c>
      <c r="B293" s="13" t="s">
        <v>594</v>
      </c>
      <c r="C293" s="13" t="s">
        <v>1442</v>
      </c>
      <c r="D293" s="13" t="s">
        <v>59</v>
      </c>
      <c r="E293" s="13" t="s">
        <v>744</v>
      </c>
      <c r="F293" s="13" t="s">
        <v>745</v>
      </c>
      <c r="G293" s="61" t="n">
        <v>3984780507</v>
      </c>
      <c r="H293" s="13" t="s">
        <v>1435</v>
      </c>
      <c r="I293" s="13"/>
      <c r="J293" s="13" t="s">
        <v>1456</v>
      </c>
      <c r="K293" s="13" t="s">
        <v>606</v>
      </c>
      <c r="L293" s="13" t="s">
        <v>1443</v>
      </c>
      <c r="M293" s="13"/>
    </row>
    <row r="294" customFormat="false" ht="15" hidden="false" customHeight="false" outlineLevel="0" collapsed="false">
      <c r="A294" s="13" t="s">
        <v>595</v>
      </c>
      <c r="B294" s="13" t="s">
        <v>594</v>
      </c>
      <c r="C294" s="13" t="s">
        <v>1444</v>
      </c>
      <c r="D294" s="13" t="s">
        <v>59</v>
      </c>
      <c r="E294" s="13" t="s">
        <v>744</v>
      </c>
      <c r="F294" s="13" t="s">
        <v>745</v>
      </c>
      <c r="G294" s="61" t="n">
        <v>7415860622</v>
      </c>
      <c r="H294" s="13" t="s">
        <v>1435</v>
      </c>
      <c r="I294" s="13"/>
      <c r="J294" s="13" t="s">
        <v>1457</v>
      </c>
      <c r="K294" s="13" t="s">
        <v>607</v>
      </c>
      <c r="L294" s="13" t="s">
        <v>1443</v>
      </c>
      <c r="M294" s="13"/>
    </row>
    <row r="295" customFormat="false" ht="15" hidden="false" customHeight="false" outlineLevel="0" collapsed="false">
      <c r="A295" s="13" t="s">
        <v>595</v>
      </c>
      <c r="B295" s="13" t="s">
        <v>594</v>
      </c>
      <c r="C295" s="13" t="s">
        <v>1446</v>
      </c>
      <c r="D295" s="13" t="s">
        <v>59</v>
      </c>
      <c r="E295" s="13" t="s">
        <v>744</v>
      </c>
      <c r="F295" s="13" t="s">
        <v>745</v>
      </c>
      <c r="G295" s="61" t="n">
        <v>5076025035</v>
      </c>
      <c r="H295" s="13" t="s">
        <v>1435</v>
      </c>
      <c r="I295" s="13"/>
      <c r="J295" s="13" t="s">
        <v>1458</v>
      </c>
      <c r="K295" s="13" t="s">
        <v>608</v>
      </c>
      <c r="L295" s="13" t="s">
        <v>1443</v>
      </c>
      <c r="M295" s="13"/>
    </row>
    <row r="296" customFormat="false" ht="15" hidden="false" customHeight="false" outlineLevel="0" collapsed="false">
      <c r="A296" s="13" t="s">
        <v>595</v>
      </c>
      <c r="B296" s="13" t="s">
        <v>594</v>
      </c>
      <c r="C296" s="13" t="s">
        <v>1448</v>
      </c>
      <c r="D296" s="13" t="s">
        <v>59</v>
      </c>
      <c r="E296" s="13" t="s">
        <v>744</v>
      </c>
      <c r="F296" s="13" t="s">
        <v>745</v>
      </c>
      <c r="G296" s="61" t="n">
        <v>4047417382</v>
      </c>
      <c r="H296" s="13" t="s">
        <v>1435</v>
      </c>
      <c r="I296" s="13"/>
      <c r="J296" s="13" t="s">
        <v>1459</v>
      </c>
      <c r="K296" s="13" t="s">
        <v>609</v>
      </c>
      <c r="L296" s="13" t="s">
        <v>1443</v>
      </c>
      <c r="M296" s="13"/>
    </row>
    <row r="297" customFormat="false" ht="15" hidden="false" customHeight="false" outlineLevel="0" collapsed="false">
      <c r="A297" s="13" t="s">
        <v>595</v>
      </c>
      <c r="B297" s="13" t="s">
        <v>594</v>
      </c>
      <c r="C297" s="13" t="s">
        <v>1434</v>
      </c>
      <c r="D297" s="13" t="s">
        <v>59</v>
      </c>
      <c r="E297" s="13" t="s">
        <v>747</v>
      </c>
      <c r="F297" s="13" t="s">
        <v>748</v>
      </c>
      <c r="G297" s="61" t="n">
        <v>10505015865</v>
      </c>
      <c r="H297" s="13" t="s">
        <v>1435</v>
      </c>
      <c r="I297" s="13"/>
      <c r="J297" s="13" t="s">
        <v>1451</v>
      </c>
      <c r="K297" s="13" t="s">
        <v>1437</v>
      </c>
      <c r="L297" s="13" t="s">
        <v>1438</v>
      </c>
      <c r="M297" s="13"/>
    </row>
    <row r="298" customFormat="false" ht="15" hidden="false" customHeight="false" outlineLevel="0" collapsed="false">
      <c r="A298" s="13" t="s">
        <v>595</v>
      </c>
      <c r="B298" s="13" t="s">
        <v>594</v>
      </c>
      <c r="C298" s="13" t="s">
        <v>1439</v>
      </c>
      <c r="D298" s="13" t="s">
        <v>59</v>
      </c>
      <c r="E298" s="13" t="s">
        <v>747</v>
      </c>
      <c r="F298" s="13" t="s">
        <v>748</v>
      </c>
      <c r="G298" s="61" t="n">
        <v>20900956080</v>
      </c>
      <c r="H298" s="13" t="s">
        <v>1435</v>
      </c>
      <c r="I298" s="13"/>
      <c r="J298" s="13" t="s">
        <v>1456</v>
      </c>
      <c r="K298" s="13" t="s">
        <v>1441</v>
      </c>
      <c r="L298" s="13" t="s">
        <v>1438</v>
      </c>
      <c r="M298" s="13"/>
    </row>
    <row r="299" customFormat="false" ht="15" hidden="false" customHeight="false" outlineLevel="0" collapsed="false">
      <c r="A299" s="13" t="s">
        <v>595</v>
      </c>
      <c r="B299" s="13" t="s">
        <v>594</v>
      </c>
      <c r="C299" s="13" t="s">
        <v>1442</v>
      </c>
      <c r="D299" s="13" t="s">
        <v>59</v>
      </c>
      <c r="E299" s="13" t="s">
        <v>747</v>
      </c>
      <c r="F299" s="13" t="s">
        <v>748</v>
      </c>
      <c r="G299" s="61" t="n">
        <v>30291824799</v>
      </c>
      <c r="H299" s="13" t="s">
        <v>1435</v>
      </c>
      <c r="I299" s="13"/>
      <c r="J299" s="13" t="s">
        <v>1456</v>
      </c>
      <c r="K299" s="13" t="s">
        <v>606</v>
      </c>
      <c r="L299" s="13" t="s">
        <v>1443</v>
      </c>
      <c r="M299" s="13"/>
    </row>
    <row r="300" customFormat="false" ht="15" hidden="false" customHeight="false" outlineLevel="0" collapsed="false">
      <c r="A300" s="13" t="s">
        <v>595</v>
      </c>
      <c r="B300" s="13" t="s">
        <v>594</v>
      </c>
      <c r="C300" s="13" t="s">
        <v>1444</v>
      </c>
      <c r="D300" s="13" t="s">
        <v>59</v>
      </c>
      <c r="E300" s="13" t="s">
        <v>747</v>
      </c>
      <c r="F300" s="13" t="s">
        <v>748</v>
      </c>
      <c r="G300" s="61" t="n">
        <v>25368291439</v>
      </c>
      <c r="H300" s="13" t="s">
        <v>1435</v>
      </c>
      <c r="I300" s="13"/>
      <c r="J300" s="13" t="s">
        <v>1457</v>
      </c>
      <c r="K300" s="13" t="s">
        <v>607</v>
      </c>
      <c r="L300" s="13" t="s">
        <v>1443</v>
      </c>
      <c r="M300" s="13"/>
    </row>
    <row r="301" customFormat="false" ht="15" hidden="false" customHeight="false" outlineLevel="0" collapsed="false">
      <c r="A301" s="13" t="s">
        <v>595</v>
      </c>
      <c r="B301" s="13" t="s">
        <v>594</v>
      </c>
      <c r="C301" s="13" t="s">
        <v>1446</v>
      </c>
      <c r="D301" s="13" t="s">
        <v>59</v>
      </c>
      <c r="E301" s="13" t="s">
        <v>747</v>
      </c>
      <c r="F301" s="13" t="s">
        <v>748</v>
      </c>
      <c r="G301" s="61" t="n">
        <v>19281565827</v>
      </c>
      <c r="H301" s="13" t="s">
        <v>1435</v>
      </c>
      <c r="I301" s="13"/>
      <c r="J301" s="13" t="s">
        <v>1458</v>
      </c>
      <c r="K301" s="13" t="s">
        <v>608</v>
      </c>
      <c r="L301" s="13" t="s">
        <v>1443</v>
      </c>
      <c r="M301" s="13"/>
    </row>
    <row r="302" customFormat="false" ht="15" hidden="false" customHeight="false" outlineLevel="0" collapsed="false">
      <c r="A302" s="13" t="s">
        <v>595</v>
      </c>
      <c r="B302" s="13" t="s">
        <v>594</v>
      </c>
      <c r="C302" s="13" t="s">
        <v>1448</v>
      </c>
      <c r="D302" s="13" t="s">
        <v>59</v>
      </c>
      <c r="E302" s="13" t="s">
        <v>747</v>
      </c>
      <c r="F302" s="13" t="s">
        <v>748</v>
      </c>
      <c r="G302" s="61" t="n">
        <v>33642337482</v>
      </c>
      <c r="H302" s="13" t="s">
        <v>1435</v>
      </c>
      <c r="I302" s="13"/>
      <c r="J302" s="13" t="s">
        <v>1459</v>
      </c>
      <c r="K302" s="13" t="s">
        <v>609</v>
      </c>
      <c r="L302" s="13" t="s">
        <v>1443</v>
      </c>
      <c r="M302" s="13"/>
    </row>
    <row r="303" customFormat="false" ht="15" hidden="false" customHeight="false" outlineLevel="0" collapsed="false">
      <c r="A303" s="13" t="s">
        <v>595</v>
      </c>
      <c r="B303" s="13" t="s">
        <v>594</v>
      </c>
      <c r="C303" s="13" t="s">
        <v>1439</v>
      </c>
      <c r="D303" s="13" t="s">
        <v>59</v>
      </c>
      <c r="E303" s="13" t="s">
        <v>750</v>
      </c>
      <c r="F303" s="13" t="s">
        <v>751</v>
      </c>
      <c r="G303" s="61" t="n">
        <v>225567741</v>
      </c>
      <c r="H303" s="13" t="s">
        <v>1435</v>
      </c>
      <c r="I303" s="13"/>
      <c r="J303" s="13" t="s">
        <v>1456</v>
      </c>
      <c r="K303" s="13" t="s">
        <v>1441</v>
      </c>
      <c r="L303" s="13" t="s">
        <v>1438</v>
      </c>
      <c r="M303" s="13"/>
    </row>
    <row r="304" customFormat="false" ht="15" hidden="false" customHeight="false" outlineLevel="0" collapsed="false">
      <c r="A304" s="13" t="s">
        <v>595</v>
      </c>
      <c r="B304" s="13" t="s">
        <v>594</v>
      </c>
      <c r="C304" s="13" t="s">
        <v>1442</v>
      </c>
      <c r="D304" s="13" t="s">
        <v>59</v>
      </c>
      <c r="E304" s="13" t="s">
        <v>750</v>
      </c>
      <c r="F304" s="13" t="s">
        <v>751</v>
      </c>
      <c r="G304" s="61" t="n">
        <v>923705000</v>
      </c>
      <c r="H304" s="13" t="s">
        <v>1435</v>
      </c>
      <c r="I304" s="13"/>
      <c r="J304" s="13" t="s">
        <v>1456</v>
      </c>
      <c r="K304" s="13" t="s">
        <v>606</v>
      </c>
      <c r="L304" s="13" t="s">
        <v>1443</v>
      </c>
      <c r="M304" s="13"/>
    </row>
    <row r="305" customFormat="false" ht="15" hidden="false" customHeight="false" outlineLevel="0" collapsed="false">
      <c r="A305" s="13" t="s">
        <v>595</v>
      </c>
      <c r="B305" s="13" t="s">
        <v>594</v>
      </c>
      <c r="C305" s="13" t="s">
        <v>1444</v>
      </c>
      <c r="D305" s="13" t="s">
        <v>59</v>
      </c>
      <c r="E305" s="13" t="s">
        <v>750</v>
      </c>
      <c r="F305" s="13" t="s">
        <v>751</v>
      </c>
      <c r="G305" s="61" t="n">
        <v>765095206</v>
      </c>
      <c r="H305" s="13" t="s">
        <v>1435</v>
      </c>
      <c r="I305" s="13"/>
      <c r="J305" s="13" t="s">
        <v>1457</v>
      </c>
      <c r="K305" s="13" t="s">
        <v>607</v>
      </c>
      <c r="L305" s="13" t="s">
        <v>1443</v>
      </c>
      <c r="M305" s="13"/>
    </row>
    <row r="306" customFormat="false" ht="15" hidden="false" customHeight="false" outlineLevel="0" collapsed="false">
      <c r="A306" s="13" t="s">
        <v>595</v>
      </c>
      <c r="B306" s="13" t="s">
        <v>594</v>
      </c>
      <c r="C306" s="13" t="s">
        <v>1446</v>
      </c>
      <c r="D306" s="13" t="s">
        <v>59</v>
      </c>
      <c r="E306" s="13" t="s">
        <v>750</v>
      </c>
      <c r="F306" s="13" t="s">
        <v>751</v>
      </c>
      <c r="G306" s="61" t="n">
        <v>474503141</v>
      </c>
      <c r="H306" s="13" t="s">
        <v>1435</v>
      </c>
      <c r="I306" s="13"/>
      <c r="J306" s="13" t="s">
        <v>1458</v>
      </c>
      <c r="K306" s="13" t="s">
        <v>608</v>
      </c>
      <c r="L306" s="13" t="s">
        <v>1443</v>
      </c>
      <c r="M306" s="13"/>
    </row>
    <row r="307" customFormat="false" ht="15" hidden="false" customHeight="false" outlineLevel="0" collapsed="false">
      <c r="A307" s="13" t="s">
        <v>595</v>
      </c>
      <c r="B307" s="13" t="s">
        <v>594</v>
      </c>
      <c r="C307" s="13" t="s">
        <v>1448</v>
      </c>
      <c r="D307" s="13" t="s">
        <v>59</v>
      </c>
      <c r="E307" s="13" t="s">
        <v>750</v>
      </c>
      <c r="F307" s="13" t="s">
        <v>751</v>
      </c>
      <c r="G307" s="61" t="n">
        <v>317960517</v>
      </c>
      <c r="H307" s="13" t="s">
        <v>1435</v>
      </c>
      <c r="I307" s="13"/>
      <c r="J307" s="13" t="s">
        <v>1459</v>
      </c>
      <c r="K307" s="13" t="s">
        <v>609</v>
      </c>
      <c r="L307" s="13" t="s">
        <v>1443</v>
      </c>
      <c r="M307" s="13"/>
    </row>
    <row r="308" customFormat="false" ht="15" hidden="false" customHeight="false" outlineLevel="0" collapsed="false">
      <c r="A308" s="13" t="s">
        <v>595</v>
      </c>
      <c r="B308" s="13" t="s">
        <v>594</v>
      </c>
      <c r="C308" s="13" t="s">
        <v>1439</v>
      </c>
      <c r="D308" s="13" t="s">
        <v>59</v>
      </c>
      <c r="E308" s="13" t="s">
        <v>753</v>
      </c>
      <c r="F308" s="13" t="s">
        <v>754</v>
      </c>
      <c r="G308" s="61" t="n">
        <v>1242431381</v>
      </c>
      <c r="H308" s="13" t="s">
        <v>1435</v>
      </c>
      <c r="I308" s="13"/>
      <c r="J308" s="13" t="s">
        <v>1456</v>
      </c>
      <c r="K308" s="13" t="s">
        <v>1441</v>
      </c>
      <c r="L308" s="13" t="s">
        <v>1438</v>
      </c>
      <c r="M308" s="13"/>
    </row>
    <row r="309" customFormat="false" ht="15" hidden="false" customHeight="false" outlineLevel="0" collapsed="false">
      <c r="A309" s="13" t="s">
        <v>595</v>
      </c>
      <c r="B309" s="13" t="s">
        <v>594</v>
      </c>
      <c r="C309" s="13" t="s">
        <v>1442</v>
      </c>
      <c r="D309" s="13" t="s">
        <v>59</v>
      </c>
      <c r="E309" s="13" t="s">
        <v>753</v>
      </c>
      <c r="F309" s="13" t="s">
        <v>754</v>
      </c>
      <c r="G309" s="61" t="n">
        <v>1470305253</v>
      </c>
      <c r="H309" s="13" t="s">
        <v>1435</v>
      </c>
      <c r="I309" s="13"/>
      <c r="J309" s="13" t="s">
        <v>1456</v>
      </c>
      <c r="K309" s="13" t="s">
        <v>606</v>
      </c>
      <c r="L309" s="13" t="s">
        <v>1443</v>
      </c>
      <c r="M309" s="13"/>
    </row>
    <row r="310" customFormat="false" ht="15" hidden="false" customHeight="false" outlineLevel="0" collapsed="false">
      <c r="A310" s="13" t="s">
        <v>595</v>
      </c>
      <c r="B310" s="13" t="s">
        <v>594</v>
      </c>
      <c r="C310" s="13" t="s">
        <v>1444</v>
      </c>
      <c r="D310" s="13" t="s">
        <v>59</v>
      </c>
      <c r="E310" s="13" t="s">
        <v>753</v>
      </c>
      <c r="F310" s="13" t="s">
        <v>754</v>
      </c>
      <c r="G310" s="61" t="n">
        <v>2607723880</v>
      </c>
      <c r="H310" s="13" t="s">
        <v>1435</v>
      </c>
      <c r="I310" s="13"/>
      <c r="J310" s="13" t="s">
        <v>1457</v>
      </c>
      <c r="K310" s="13" t="s">
        <v>607</v>
      </c>
      <c r="L310" s="13" t="s">
        <v>1443</v>
      </c>
      <c r="M310" s="13"/>
    </row>
    <row r="311" customFormat="false" ht="15" hidden="false" customHeight="false" outlineLevel="0" collapsed="false">
      <c r="A311" s="13" t="s">
        <v>595</v>
      </c>
      <c r="B311" s="13" t="s">
        <v>594</v>
      </c>
      <c r="C311" s="13" t="s">
        <v>1446</v>
      </c>
      <c r="D311" s="13" t="s">
        <v>59</v>
      </c>
      <c r="E311" s="13" t="s">
        <v>753</v>
      </c>
      <c r="F311" s="13" t="s">
        <v>754</v>
      </c>
      <c r="G311" s="61" t="n">
        <v>1761006332</v>
      </c>
      <c r="H311" s="13" t="s">
        <v>1435</v>
      </c>
      <c r="I311" s="13"/>
      <c r="J311" s="13" t="s">
        <v>1458</v>
      </c>
      <c r="K311" s="13" t="s">
        <v>608</v>
      </c>
      <c r="L311" s="13" t="s">
        <v>1443</v>
      </c>
      <c r="M311" s="13"/>
    </row>
    <row r="312" customFormat="false" ht="15" hidden="false" customHeight="false" outlineLevel="0" collapsed="false">
      <c r="A312" s="13" t="s">
        <v>595</v>
      </c>
      <c r="B312" s="13" t="s">
        <v>594</v>
      </c>
      <c r="C312" s="13" t="s">
        <v>1448</v>
      </c>
      <c r="D312" s="13" t="s">
        <v>59</v>
      </c>
      <c r="E312" s="13" t="s">
        <v>753</v>
      </c>
      <c r="F312" s="13" t="s">
        <v>754</v>
      </c>
      <c r="G312" s="61" t="n">
        <v>1435919928</v>
      </c>
      <c r="H312" s="13" t="s">
        <v>1435</v>
      </c>
      <c r="I312" s="13"/>
      <c r="J312" s="13" t="s">
        <v>1459</v>
      </c>
      <c r="K312" s="13" t="s">
        <v>609</v>
      </c>
      <c r="L312" s="13" t="s">
        <v>1443</v>
      </c>
      <c r="M312" s="13"/>
    </row>
    <row r="313" customFormat="false" ht="15" hidden="false" customHeight="false" outlineLevel="0" collapsed="false">
      <c r="A313" s="13" t="s">
        <v>595</v>
      </c>
      <c r="B313" s="13" t="s">
        <v>594</v>
      </c>
      <c r="C313" s="13" t="s">
        <v>1434</v>
      </c>
      <c r="D313" s="13" t="s">
        <v>59</v>
      </c>
      <c r="E313" s="13" t="s">
        <v>756</v>
      </c>
      <c r="F313" s="13" t="s">
        <v>757</v>
      </c>
      <c r="G313" s="61" t="n">
        <v>7502028558</v>
      </c>
      <c r="H313" s="13" t="s">
        <v>1435</v>
      </c>
      <c r="I313" s="13"/>
      <c r="J313" s="13" t="s">
        <v>1451</v>
      </c>
      <c r="K313" s="13" t="s">
        <v>1437</v>
      </c>
      <c r="L313" s="13" t="s">
        <v>1438</v>
      </c>
      <c r="M313" s="13"/>
    </row>
    <row r="314" customFormat="false" ht="15" hidden="false" customHeight="false" outlineLevel="0" collapsed="false">
      <c r="A314" s="13" t="s">
        <v>595</v>
      </c>
      <c r="B314" s="13" t="s">
        <v>594</v>
      </c>
      <c r="C314" s="13" t="s">
        <v>1439</v>
      </c>
      <c r="D314" s="13" t="s">
        <v>59</v>
      </c>
      <c r="E314" s="13" t="s">
        <v>756</v>
      </c>
      <c r="F314" s="13" t="s">
        <v>757</v>
      </c>
      <c r="G314" s="61" t="n">
        <v>8275268737</v>
      </c>
      <c r="H314" s="13" t="s">
        <v>1435</v>
      </c>
      <c r="I314" s="13"/>
      <c r="J314" s="13" t="s">
        <v>1456</v>
      </c>
      <c r="K314" s="13" t="s">
        <v>1441</v>
      </c>
      <c r="L314" s="13" t="s">
        <v>1438</v>
      </c>
      <c r="M314" s="13"/>
    </row>
    <row r="315" customFormat="false" ht="15" hidden="false" customHeight="false" outlineLevel="0" collapsed="false">
      <c r="A315" s="13" t="s">
        <v>595</v>
      </c>
      <c r="B315" s="13" t="s">
        <v>594</v>
      </c>
      <c r="C315" s="13" t="s">
        <v>1442</v>
      </c>
      <c r="D315" s="13" t="s">
        <v>59</v>
      </c>
      <c r="E315" s="13" t="s">
        <v>756</v>
      </c>
      <c r="F315" s="13" t="s">
        <v>757</v>
      </c>
      <c r="G315" s="61" t="n">
        <v>4356691244</v>
      </c>
      <c r="H315" s="13" t="s">
        <v>1435</v>
      </c>
      <c r="I315" s="13"/>
      <c r="J315" s="13" t="s">
        <v>1456</v>
      </c>
      <c r="K315" s="13" t="s">
        <v>606</v>
      </c>
      <c r="L315" s="13" t="s">
        <v>1443</v>
      </c>
      <c r="M315" s="13"/>
    </row>
    <row r="316" customFormat="false" ht="15" hidden="false" customHeight="false" outlineLevel="0" collapsed="false">
      <c r="A316" s="13" t="s">
        <v>595</v>
      </c>
      <c r="B316" s="13" t="s">
        <v>594</v>
      </c>
      <c r="C316" s="13" t="s">
        <v>1444</v>
      </c>
      <c r="D316" s="13" t="s">
        <v>59</v>
      </c>
      <c r="E316" s="13" t="s">
        <v>756</v>
      </c>
      <c r="F316" s="13" t="s">
        <v>757</v>
      </c>
      <c r="G316" s="61" t="n">
        <v>6804272871</v>
      </c>
      <c r="H316" s="13" t="s">
        <v>1435</v>
      </c>
      <c r="I316" s="13"/>
      <c r="J316" s="13" t="s">
        <v>1457</v>
      </c>
      <c r="K316" s="13" t="s">
        <v>607</v>
      </c>
      <c r="L316" s="13" t="s">
        <v>1443</v>
      </c>
      <c r="M316" s="13"/>
    </row>
    <row r="317" customFormat="false" ht="15" hidden="false" customHeight="false" outlineLevel="0" collapsed="false">
      <c r="A317" s="13" t="s">
        <v>595</v>
      </c>
      <c r="B317" s="13" t="s">
        <v>594</v>
      </c>
      <c r="C317" s="13" t="s">
        <v>1446</v>
      </c>
      <c r="D317" s="13" t="s">
        <v>59</v>
      </c>
      <c r="E317" s="13" t="s">
        <v>756</v>
      </c>
      <c r="F317" s="13" t="s">
        <v>757</v>
      </c>
      <c r="G317" s="61" t="n">
        <v>9363311221</v>
      </c>
      <c r="H317" s="13" t="s">
        <v>1435</v>
      </c>
      <c r="I317" s="13"/>
      <c r="J317" s="13" t="s">
        <v>1458</v>
      </c>
      <c r="K317" s="13" t="s">
        <v>608</v>
      </c>
      <c r="L317" s="13" t="s">
        <v>1443</v>
      </c>
      <c r="M317" s="13"/>
    </row>
    <row r="318" customFormat="false" ht="15" hidden="false" customHeight="false" outlineLevel="0" collapsed="false">
      <c r="A318" s="13" t="s">
        <v>595</v>
      </c>
      <c r="B318" s="13" t="s">
        <v>594</v>
      </c>
      <c r="C318" s="13" t="s">
        <v>1448</v>
      </c>
      <c r="D318" s="13" t="s">
        <v>59</v>
      </c>
      <c r="E318" s="13" t="s">
        <v>756</v>
      </c>
      <c r="F318" s="13" t="s">
        <v>757</v>
      </c>
      <c r="G318" s="61" t="n">
        <v>17208650114</v>
      </c>
      <c r="H318" s="13" t="s">
        <v>1435</v>
      </c>
      <c r="I318" s="13"/>
      <c r="J318" s="13" t="s">
        <v>1459</v>
      </c>
      <c r="K318" s="13" t="s">
        <v>609</v>
      </c>
      <c r="L318" s="13" t="s">
        <v>1443</v>
      </c>
      <c r="M318" s="13"/>
    </row>
    <row r="319" customFormat="false" ht="15" hidden="false" customHeight="false" outlineLevel="0" collapsed="false">
      <c r="A319" s="13" t="s">
        <v>595</v>
      </c>
      <c r="B319" s="13" t="s">
        <v>594</v>
      </c>
      <c r="C319" s="13" t="s">
        <v>1439</v>
      </c>
      <c r="D319" s="13" t="s">
        <v>59</v>
      </c>
      <c r="E319" s="13" t="s">
        <v>759</v>
      </c>
      <c r="F319" s="13" t="s">
        <v>760</v>
      </c>
      <c r="G319" s="61" t="n">
        <v>7107214914</v>
      </c>
      <c r="H319" s="13" t="s">
        <v>1435</v>
      </c>
      <c r="I319" s="13"/>
      <c r="J319" s="13" t="s">
        <v>1456</v>
      </c>
      <c r="K319" s="13" t="s">
        <v>1441</v>
      </c>
      <c r="L319" s="13" t="s">
        <v>1438</v>
      </c>
      <c r="M319" s="13"/>
    </row>
    <row r="320" customFormat="false" ht="15" hidden="false" customHeight="false" outlineLevel="0" collapsed="false">
      <c r="A320" s="13" t="s">
        <v>595</v>
      </c>
      <c r="B320" s="13" t="s">
        <v>594</v>
      </c>
      <c r="C320" s="13" t="s">
        <v>1442</v>
      </c>
      <c r="D320" s="13" t="s">
        <v>59</v>
      </c>
      <c r="E320" s="13" t="s">
        <v>759</v>
      </c>
      <c r="F320" s="13" t="s">
        <v>760</v>
      </c>
      <c r="G320" s="61" t="n">
        <v>15315140959</v>
      </c>
      <c r="H320" s="13" t="s">
        <v>1435</v>
      </c>
      <c r="I320" s="13"/>
      <c r="J320" s="13" t="s">
        <v>1456</v>
      </c>
      <c r="K320" s="13" t="s">
        <v>606</v>
      </c>
      <c r="L320" s="13" t="s">
        <v>1443</v>
      </c>
      <c r="M320" s="13"/>
    </row>
    <row r="321" customFormat="false" ht="15" hidden="false" customHeight="false" outlineLevel="0" collapsed="false">
      <c r="A321" s="13" t="s">
        <v>595</v>
      </c>
      <c r="B321" s="13" t="s">
        <v>594</v>
      </c>
      <c r="C321" s="13" t="s">
        <v>1444</v>
      </c>
      <c r="D321" s="13" t="s">
        <v>59</v>
      </c>
      <c r="E321" s="13" t="s">
        <v>759</v>
      </c>
      <c r="F321" s="13" t="s">
        <v>760</v>
      </c>
      <c r="G321" s="61" t="n">
        <v>27060733465</v>
      </c>
      <c r="H321" s="13" t="s">
        <v>1435</v>
      </c>
      <c r="I321" s="13"/>
      <c r="J321" s="13" t="s">
        <v>1457</v>
      </c>
      <c r="K321" s="13" t="s">
        <v>607</v>
      </c>
      <c r="L321" s="13" t="s">
        <v>1443</v>
      </c>
      <c r="M321" s="13"/>
    </row>
    <row r="322" customFormat="false" ht="15" hidden="false" customHeight="false" outlineLevel="0" collapsed="false">
      <c r="A322" s="13" t="s">
        <v>595</v>
      </c>
      <c r="B322" s="13" t="s">
        <v>594</v>
      </c>
      <c r="C322" s="13" t="s">
        <v>1446</v>
      </c>
      <c r="D322" s="13" t="s">
        <v>59</v>
      </c>
      <c r="E322" s="13" t="s">
        <v>759</v>
      </c>
      <c r="F322" s="13" t="s">
        <v>760</v>
      </c>
      <c r="G322" s="61" t="n">
        <v>28284448216</v>
      </c>
      <c r="H322" s="13" t="s">
        <v>1435</v>
      </c>
      <c r="I322" s="13"/>
      <c r="J322" s="13" t="s">
        <v>1458</v>
      </c>
      <c r="K322" s="13" t="s">
        <v>608</v>
      </c>
      <c r="L322" s="13" t="s">
        <v>1443</v>
      </c>
      <c r="M322" s="13"/>
    </row>
    <row r="323" customFormat="false" ht="15" hidden="false" customHeight="false" outlineLevel="0" collapsed="false">
      <c r="A323" s="13" t="s">
        <v>595</v>
      </c>
      <c r="B323" s="13" t="s">
        <v>594</v>
      </c>
      <c r="C323" s="13" t="s">
        <v>1448</v>
      </c>
      <c r="D323" s="13" t="s">
        <v>59</v>
      </c>
      <c r="E323" s="13" t="s">
        <v>759</v>
      </c>
      <c r="F323" s="13" t="s">
        <v>760</v>
      </c>
      <c r="G323" s="61" t="n">
        <v>21804949777</v>
      </c>
      <c r="H323" s="13" t="s">
        <v>1435</v>
      </c>
      <c r="I323" s="13"/>
      <c r="J323" s="13" t="s">
        <v>1459</v>
      </c>
      <c r="K323" s="13" t="s">
        <v>609</v>
      </c>
      <c r="L323" s="13" t="s">
        <v>1443</v>
      </c>
      <c r="M323" s="13"/>
    </row>
    <row r="324" customFormat="false" ht="15" hidden="false" customHeight="false" outlineLevel="0" collapsed="false">
      <c r="A324" s="13" t="s">
        <v>595</v>
      </c>
      <c r="B324" s="13" t="s">
        <v>594</v>
      </c>
      <c r="C324" s="13" t="s">
        <v>1444</v>
      </c>
      <c r="D324" s="13" t="s">
        <v>59</v>
      </c>
      <c r="E324" s="13" t="s">
        <v>762</v>
      </c>
      <c r="F324" s="13" t="s">
        <v>763</v>
      </c>
      <c r="G324" s="61" t="n">
        <v>649428474637</v>
      </c>
      <c r="H324" s="13" t="s">
        <v>1435</v>
      </c>
      <c r="I324" s="13"/>
      <c r="J324" s="13" t="s">
        <v>1457</v>
      </c>
      <c r="K324" s="13" t="s">
        <v>607</v>
      </c>
      <c r="L324" s="13" t="s">
        <v>1443</v>
      </c>
      <c r="M324" s="13"/>
    </row>
    <row r="325" customFormat="false" ht="15" hidden="false" customHeight="false" outlineLevel="0" collapsed="false">
      <c r="A325" s="13" t="s">
        <v>595</v>
      </c>
      <c r="B325" s="13" t="s">
        <v>594</v>
      </c>
      <c r="C325" s="13" t="s">
        <v>1446</v>
      </c>
      <c r="D325" s="13" t="s">
        <v>59</v>
      </c>
      <c r="E325" s="13" t="s">
        <v>762</v>
      </c>
      <c r="F325" s="13" t="s">
        <v>763</v>
      </c>
      <c r="G325" s="61" t="n">
        <v>0</v>
      </c>
      <c r="H325" s="13" t="s">
        <v>1435</v>
      </c>
      <c r="I325" s="13"/>
      <c r="J325" s="13" t="s">
        <v>1458</v>
      </c>
      <c r="K325" s="13" t="s">
        <v>608</v>
      </c>
      <c r="L325" s="13" t="s">
        <v>1443</v>
      </c>
      <c r="M325" s="13"/>
    </row>
    <row r="326" customFormat="false" ht="15" hidden="false" customHeight="false" outlineLevel="0" collapsed="false">
      <c r="A326" s="13" t="s">
        <v>595</v>
      </c>
      <c r="B326" s="13" t="s">
        <v>594</v>
      </c>
      <c r="C326" s="13" t="s">
        <v>1448</v>
      </c>
      <c r="D326" s="13" t="s">
        <v>59</v>
      </c>
      <c r="E326" s="13" t="s">
        <v>762</v>
      </c>
      <c r="F326" s="13" t="s">
        <v>763</v>
      </c>
      <c r="G326" s="61" t="n">
        <v>499148560875</v>
      </c>
      <c r="H326" s="13" t="s">
        <v>1435</v>
      </c>
      <c r="I326" s="13"/>
      <c r="J326" s="13" t="s">
        <v>1459</v>
      </c>
      <c r="K326" s="13" t="s">
        <v>609</v>
      </c>
      <c r="L326" s="13" t="s">
        <v>1443</v>
      </c>
      <c r="M326" s="13"/>
    </row>
    <row r="327" customFormat="false" ht="15" hidden="false" customHeight="false" outlineLevel="0" collapsed="false">
      <c r="A327" s="13" t="s">
        <v>595</v>
      </c>
      <c r="B327" s="13" t="s">
        <v>594</v>
      </c>
      <c r="C327" s="13" t="s">
        <v>1434</v>
      </c>
      <c r="D327" s="13" t="s">
        <v>59</v>
      </c>
      <c r="E327" s="13" t="s">
        <v>765</v>
      </c>
      <c r="F327" s="13" t="s">
        <v>766</v>
      </c>
      <c r="G327" s="61" t="n">
        <v>48429071388</v>
      </c>
      <c r="H327" s="13" t="s">
        <v>1435</v>
      </c>
      <c r="I327" s="13"/>
      <c r="J327" s="13"/>
      <c r="K327" s="13" t="s">
        <v>1437</v>
      </c>
      <c r="L327" s="13" t="s">
        <v>1438</v>
      </c>
      <c r="M327" s="13" t="s">
        <v>1450</v>
      </c>
    </row>
    <row r="328" customFormat="false" ht="15" hidden="false" customHeight="false" outlineLevel="0" collapsed="false">
      <c r="A328" s="13" t="s">
        <v>595</v>
      </c>
      <c r="B328" s="13" t="s">
        <v>594</v>
      </c>
      <c r="C328" s="13" t="s">
        <v>1439</v>
      </c>
      <c r="D328" s="13" t="s">
        <v>59</v>
      </c>
      <c r="E328" s="13" t="s">
        <v>765</v>
      </c>
      <c r="F328" s="13" t="s">
        <v>766</v>
      </c>
      <c r="G328" s="61" t="n">
        <v>77659223975</v>
      </c>
      <c r="H328" s="13" t="s">
        <v>1435</v>
      </c>
      <c r="I328" s="13"/>
      <c r="J328" s="13"/>
      <c r="K328" s="13" t="s">
        <v>1441</v>
      </c>
      <c r="L328" s="13" t="s">
        <v>1438</v>
      </c>
      <c r="M328" s="13" t="s">
        <v>1450</v>
      </c>
    </row>
    <row r="329" customFormat="false" ht="15" hidden="false" customHeight="false" outlineLevel="0" collapsed="false">
      <c r="A329" s="13" t="s">
        <v>595</v>
      </c>
      <c r="B329" s="13" t="s">
        <v>594</v>
      </c>
      <c r="C329" s="13" t="s">
        <v>1442</v>
      </c>
      <c r="D329" s="13" t="s">
        <v>59</v>
      </c>
      <c r="E329" s="13" t="s">
        <v>765</v>
      </c>
      <c r="F329" s="13" t="s">
        <v>766</v>
      </c>
      <c r="G329" s="61" t="n">
        <v>213002320748</v>
      </c>
      <c r="H329" s="13" t="s">
        <v>1435</v>
      </c>
      <c r="I329" s="13"/>
      <c r="J329" s="13"/>
      <c r="K329" s="13" t="s">
        <v>606</v>
      </c>
      <c r="L329" s="13" t="s">
        <v>1443</v>
      </c>
      <c r="M329" s="13" t="s">
        <v>1450</v>
      </c>
    </row>
    <row r="330" customFormat="false" ht="15" hidden="false" customHeight="false" outlineLevel="0" collapsed="false">
      <c r="A330" s="13" t="s">
        <v>595</v>
      </c>
      <c r="B330" s="13" t="s">
        <v>594</v>
      </c>
      <c r="C330" s="13" t="s">
        <v>1444</v>
      </c>
      <c r="D330" s="13" t="s">
        <v>59</v>
      </c>
      <c r="E330" s="13" t="s">
        <v>765</v>
      </c>
      <c r="F330" s="13" t="s">
        <v>766</v>
      </c>
      <c r="G330" s="61" t="n">
        <v>903647240409</v>
      </c>
      <c r="H330" s="13" t="s">
        <v>1435</v>
      </c>
      <c r="I330" s="13"/>
      <c r="J330" s="13"/>
      <c r="K330" s="13" t="s">
        <v>607</v>
      </c>
      <c r="L330" s="13" t="s">
        <v>1443</v>
      </c>
      <c r="M330" s="13" t="s">
        <v>1450</v>
      </c>
    </row>
    <row r="331" customFormat="false" ht="15" hidden="false" customHeight="false" outlineLevel="0" collapsed="false">
      <c r="A331" s="13" t="s">
        <v>595</v>
      </c>
      <c r="B331" s="13" t="s">
        <v>594</v>
      </c>
      <c r="C331" s="13" t="s">
        <v>1446</v>
      </c>
      <c r="D331" s="13" t="s">
        <v>59</v>
      </c>
      <c r="E331" s="13" t="s">
        <v>765</v>
      </c>
      <c r="F331" s="13" t="s">
        <v>766</v>
      </c>
      <c r="G331" s="61" t="n">
        <v>874056732450</v>
      </c>
      <c r="H331" s="13" t="s">
        <v>1435</v>
      </c>
      <c r="I331" s="13"/>
      <c r="J331" s="13"/>
      <c r="K331" s="13" t="s">
        <v>608</v>
      </c>
      <c r="L331" s="13" t="s">
        <v>1443</v>
      </c>
      <c r="M331" s="13" t="s">
        <v>1450</v>
      </c>
    </row>
    <row r="332" customFormat="false" ht="15" hidden="false" customHeight="false" outlineLevel="0" collapsed="false">
      <c r="A332" s="13" t="s">
        <v>595</v>
      </c>
      <c r="B332" s="13" t="s">
        <v>594</v>
      </c>
      <c r="C332" s="13" t="s">
        <v>1448</v>
      </c>
      <c r="D332" s="13" t="s">
        <v>59</v>
      </c>
      <c r="E332" s="13" t="s">
        <v>765</v>
      </c>
      <c r="F332" s="13" t="s">
        <v>766</v>
      </c>
      <c r="G332" s="61" t="n">
        <v>613921910936</v>
      </c>
      <c r="H332" s="13" t="s">
        <v>1435</v>
      </c>
      <c r="I332" s="13"/>
      <c r="J332" s="13"/>
      <c r="K332" s="13" t="s">
        <v>609</v>
      </c>
      <c r="L332" s="13" t="s">
        <v>1443</v>
      </c>
      <c r="M332" s="13" t="s">
        <v>1450</v>
      </c>
    </row>
    <row r="333" customFormat="false" ht="15" hidden="false" customHeight="false" outlineLevel="0" collapsed="false">
      <c r="A333" s="13" t="s">
        <v>595</v>
      </c>
      <c r="B333" s="13" t="s">
        <v>594</v>
      </c>
      <c r="C333" s="13" t="s">
        <v>1434</v>
      </c>
      <c r="D333" s="13" t="s">
        <v>59</v>
      </c>
      <c r="E333" s="13" t="s">
        <v>767</v>
      </c>
      <c r="F333" s="13" t="s">
        <v>768</v>
      </c>
      <c r="G333" s="61" t="n">
        <v>95696931589</v>
      </c>
      <c r="H333" s="13" t="s">
        <v>1435</v>
      </c>
      <c r="I333" s="13"/>
      <c r="J333" s="13" t="s">
        <v>1451</v>
      </c>
      <c r="K333" s="13" t="s">
        <v>1437</v>
      </c>
      <c r="L333" s="13" t="s">
        <v>1438</v>
      </c>
      <c r="M333" s="13"/>
    </row>
    <row r="334" customFormat="false" ht="15" hidden="false" customHeight="false" outlineLevel="0" collapsed="false">
      <c r="A334" s="13" t="s">
        <v>595</v>
      </c>
      <c r="B334" s="13" t="s">
        <v>594</v>
      </c>
      <c r="C334" s="13" t="s">
        <v>1439</v>
      </c>
      <c r="D334" s="13" t="s">
        <v>59</v>
      </c>
      <c r="E334" s="13" t="s">
        <v>767</v>
      </c>
      <c r="F334" s="13" t="s">
        <v>768</v>
      </c>
      <c r="G334" s="61" t="n">
        <v>87421662853</v>
      </c>
      <c r="H334" s="13" t="s">
        <v>1435</v>
      </c>
      <c r="I334" s="13"/>
      <c r="J334" s="13" t="s">
        <v>1456</v>
      </c>
      <c r="K334" s="13" t="s">
        <v>1441</v>
      </c>
      <c r="L334" s="13" t="s">
        <v>1438</v>
      </c>
      <c r="M334" s="13"/>
    </row>
    <row r="335" customFormat="false" ht="15" hidden="false" customHeight="false" outlineLevel="0" collapsed="false">
      <c r="A335" s="13" t="s">
        <v>595</v>
      </c>
      <c r="B335" s="13" t="s">
        <v>594</v>
      </c>
      <c r="C335" s="13" t="s">
        <v>1442</v>
      </c>
      <c r="D335" s="13" t="s">
        <v>59</v>
      </c>
      <c r="E335" s="13" t="s">
        <v>767</v>
      </c>
      <c r="F335" s="13" t="s">
        <v>768</v>
      </c>
      <c r="G335" s="61" t="n">
        <v>84205352315</v>
      </c>
      <c r="H335" s="13" t="s">
        <v>1435</v>
      </c>
      <c r="I335" s="13"/>
      <c r="J335" s="13" t="s">
        <v>1456</v>
      </c>
      <c r="K335" s="13" t="s">
        <v>606</v>
      </c>
      <c r="L335" s="13" t="s">
        <v>1443</v>
      </c>
      <c r="M335" s="13"/>
    </row>
    <row r="336" customFormat="false" ht="15" hidden="false" customHeight="false" outlineLevel="0" collapsed="false">
      <c r="A336" s="13" t="s">
        <v>595</v>
      </c>
      <c r="B336" s="13" t="s">
        <v>594</v>
      </c>
      <c r="C336" s="13" t="s">
        <v>1444</v>
      </c>
      <c r="D336" s="13" t="s">
        <v>59</v>
      </c>
      <c r="E336" s="13" t="s">
        <v>767</v>
      </c>
      <c r="F336" s="13" t="s">
        <v>768</v>
      </c>
      <c r="G336" s="61" t="n">
        <v>82192016943</v>
      </c>
      <c r="H336" s="13" t="s">
        <v>1435</v>
      </c>
      <c r="I336" s="13"/>
      <c r="J336" s="13" t="s">
        <v>1457</v>
      </c>
      <c r="K336" s="13" t="s">
        <v>607</v>
      </c>
      <c r="L336" s="13" t="s">
        <v>1443</v>
      </c>
      <c r="M336" s="13"/>
    </row>
    <row r="337" customFormat="false" ht="15" hidden="false" customHeight="false" outlineLevel="0" collapsed="false">
      <c r="A337" s="13" t="s">
        <v>595</v>
      </c>
      <c r="B337" s="13" t="s">
        <v>594</v>
      </c>
      <c r="C337" s="13" t="s">
        <v>1446</v>
      </c>
      <c r="D337" s="13" t="s">
        <v>59</v>
      </c>
      <c r="E337" s="13" t="s">
        <v>767</v>
      </c>
      <c r="F337" s="13" t="s">
        <v>768</v>
      </c>
      <c r="G337" s="61" t="n">
        <v>73084588828</v>
      </c>
      <c r="H337" s="13" t="s">
        <v>1435</v>
      </c>
      <c r="I337" s="13"/>
      <c r="J337" s="13" t="s">
        <v>1458</v>
      </c>
      <c r="K337" s="13" t="s">
        <v>608</v>
      </c>
      <c r="L337" s="13" t="s">
        <v>1443</v>
      </c>
      <c r="M337" s="13"/>
    </row>
    <row r="338" customFormat="false" ht="15" hidden="false" customHeight="false" outlineLevel="0" collapsed="false">
      <c r="A338" s="13" t="s">
        <v>595</v>
      </c>
      <c r="B338" s="13" t="s">
        <v>594</v>
      </c>
      <c r="C338" s="13" t="s">
        <v>1448</v>
      </c>
      <c r="D338" s="13" t="s">
        <v>59</v>
      </c>
      <c r="E338" s="13" t="s">
        <v>767</v>
      </c>
      <c r="F338" s="13" t="s">
        <v>768</v>
      </c>
      <c r="G338" s="61" t="n">
        <v>279437460767</v>
      </c>
      <c r="H338" s="13" t="s">
        <v>1435</v>
      </c>
      <c r="I338" s="13"/>
      <c r="J338" s="13" t="s">
        <v>1459</v>
      </c>
      <c r="K338" s="13" t="s">
        <v>609</v>
      </c>
      <c r="L338" s="13" t="s">
        <v>1443</v>
      </c>
      <c r="M338" s="13"/>
    </row>
    <row r="339" customFormat="false" ht="15" hidden="false" customHeight="false" outlineLevel="0" collapsed="false">
      <c r="A339" s="13" t="s">
        <v>595</v>
      </c>
      <c r="B339" s="13" t="s">
        <v>594</v>
      </c>
      <c r="C339" s="13" t="s">
        <v>1439</v>
      </c>
      <c r="D339" s="13" t="s">
        <v>59</v>
      </c>
      <c r="E339" s="13" t="s">
        <v>770</v>
      </c>
      <c r="F339" s="13" t="s">
        <v>771</v>
      </c>
      <c r="G339" s="61" t="n">
        <v>90042541090</v>
      </c>
      <c r="H339" s="13" t="s">
        <v>1435</v>
      </c>
      <c r="I339" s="13"/>
      <c r="J339" s="13" t="s">
        <v>1456</v>
      </c>
      <c r="K339" s="13" t="s">
        <v>1441</v>
      </c>
      <c r="L339" s="13" t="s">
        <v>1438</v>
      </c>
      <c r="M339" s="13"/>
    </row>
    <row r="340" customFormat="false" ht="15" hidden="false" customHeight="false" outlineLevel="0" collapsed="false">
      <c r="A340" s="13" t="s">
        <v>595</v>
      </c>
      <c r="B340" s="13" t="s">
        <v>594</v>
      </c>
      <c r="C340" s="13" t="s">
        <v>1442</v>
      </c>
      <c r="D340" s="13" t="s">
        <v>59</v>
      </c>
      <c r="E340" s="13" t="s">
        <v>770</v>
      </c>
      <c r="F340" s="13" t="s">
        <v>771</v>
      </c>
      <c r="G340" s="61" t="n">
        <v>74727400131</v>
      </c>
      <c r="H340" s="13" t="s">
        <v>1435</v>
      </c>
      <c r="I340" s="13"/>
      <c r="J340" s="13" t="s">
        <v>1456</v>
      </c>
      <c r="K340" s="13" t="s">
        <v>606</v>
      </c>
      <c r="L340" s="13" t="s">
        <v>1443</v>
      </c>
      <c r="M340" s="13"/>
    </row>
    <row r="341" customFormat="false" ht="15" hidden="false" customHeight="false" outlineLevel="0" collapsed="false">
      <c r="A341" s="13" t="s">
        <v>595</v>
      </c>
      <c r="B341" s="13" t="s">
        <v>594</v>
      </c>
      <c r="C341" s="13" t="s">
        <v>1444</v>
      </c>
      <c r="D341" s="13" t="s">
        <v>59</v>
      </c>
      <c r="E341" s="13" t="s">
        <v>770</v>
      </c>
      <c r="F341" s="13" t="s">
        <v>771</v>
      </c>
      <c r="G341" s="61" t="n">
        <v>47466666666</v>
      </c>
      <c r="H341" s="13" t="s">
        <v>1435</v>
      </c>
      <c r="I341" s="13"/>
      <c r="J341" s="13" t="s">
        <v>1457</v>
      </c>
      <c r="K341" s="13" t="s">
        <v>607</v>
      </c>
      <c r="L341" s="13" t="s">
        <v>1443</v>
      </c>
      <c r="M341" s="13"/>
    </row>
    <row r="342" customFormat="false" ht="15" hidden="false" customHeight="false" outlineLevel="0" collapsed="false">
      <c r="A342" s="13" t="s">
        <v>595</v>
      </c>
      <c r="B342" s="13" t="s">
        <v>594</v>
      </c>
      <c r="C342" s="13" t="s">
        <v>1446</v>
      </c>
      <c r="D342" s="13" t="s">
        <v>59</v>
      </c>
      <c r="E342" s="13" t="s">
        <v>770</v>
      </c>
      <c r="F342" s="13" t="s">
        <v>771</v>
      </c>
      <c r="G342" s="61" t="n">
        <v>49150559743</v>
      </c>
      <c r="H342" s="13" t="s">
        <v>1435</v>
      </c>
      <c r="I342" s="13"/>
      <c r="J342" s="13" t="s">
        <v>1458</v>
      </c>
      <c r="K342" s="13" t="s">
        <v>608</v>
      </c>
      <c r="L342" s="13" t="s">
        <v>1443</v>
      </c>
      <c r="M342" s="13"/>
    </row>
    <row r="343" customFormat="false" ht="15" hidden="false" customHeight="false" outlineLevel="0" collapsed="false">
      <c r="A343" s="13" t="s">
        <v>595</v>
      </c>
      <c r="B343" s="13" t="s">
        <v>594</v>
      </c>
      <c r="C343" s="13" t="s">
        <v>1448</v>
      </c>
      <c r="D343" s="13" t="s">
        <v>59</v>
      </c>
      <c r="E343" s="13" t="s">
        <v>770</v>
      </c>
      <c r="F343" s="13" t="s">
        <v>771</v>
      </c>
      <c r="G343" s="61" t="n">
        <v>1330269852</v>
      </c>
      <c r="H343" s="13" t="s">
        <v>1435</v>
      </c>
      <c r="I343" s="13"/>
      <c r="J343" s="13" t="s">
        <v>1459</v>
      </c>
      <c r="K343" s="13" t="s">
        <v>609</v>
      </c>
      <c r="L343" s="13" t="s">
        <v>1443</v>
      </c>
      <c r="M343" s="13"/>
    </row>
    <row r="344" customFormat="false" ht="15" hidden="false" customHeight="false" outlineLevel="0" collapsed="false">
      <c r="A344" s="13" t="s">
        <v>595</v>
      </c>
      <c r="B344" s="13" t="s">
        <v>594</v>
      </c>
      <c r="C344" s="13" t="s">
        <v>1439</v>
      </c>
      <c r="D344" s="13" t="s">
        <v>59</v>
      </c>
      <c r="E344" s="13" t="s">
        <v>773</v>
      </c>
      <c r="F344" s="13" t="s">
        <v>774</v>
      </c>
      <c r="G344" s="61" t="n">
        <v>648225425171</v>
      </c>
      <c r="H344" s="13" t="s">
        <v>1435</v>
      </c>
      <c r="I344" s="13"/>
      <c r="J344" s="13" t="s">
        <v>1456</v>
      </c>
      <c r="K344" s="13" t="s">
        <v>1441</v>
      </c>
      <c r="L344" s="13" t="s">
        <v>1438</v>
      </c>
      <c r="M344" s="13"/>
    </row>
    <row r="345" customFormat="false" ht="15" hidden="false" customHeight="false" outlineLevel="0" collapsed="false">
      <c r="A345" s="13" t="s">
        <v>595</v>
      </c>
      <c r="B345" s="13" t="s">
        <v>594</v>
      </c>
      <c r="C345" s="13" t="s">
        <v>1442</v>
      </c>
      <c r="D345" s="13" t="s">
        <v>59</v>
      </c>
      <c r="E345" s="13" t="s">
        <v>773</v>
      </c>
      <c r="F345" s="13" t="s">
        <v>774</v>
      </c>
      <c r="G345" s="61" t="n">
        <v>648767367569</v>
      </c>
      <c r="H345" s="13" t="s">
        <v>1435</v>
      </c>
      <c r="I345" s="13"/>
      <c r="J345" s="13" t="s">
        <v>1456</v>
      </c>
      <c r="K345" s="13" t="s">
        <v>606</v>
      </c>
      <c r="L345" s="13" t="s">
        <v>1443</v>
      </c>
      <c r="M345" s="13"/>
    </row>
    <row r="346" customFormat="false" ht="15" hidden="false" customHeight="false" outlineLevel="0" collapsed="false">
      <c r="A346" s="13" t="s">
        <v>595</v>
      </c>
      <c r="B346" s="13" t="s">
        <v>594</v>
      </c>
      <c r="C346" s="13" t="s">
        <v>1444</v>
      </c>
      <c r="D346" s="13" t="s">
        <v>59</v>
      </c>
      <c r="E346" s="13" t="s">
        <v>773</v>
      </c>
      <c r="F346" s="13" t="s">
        <v>774</v>
      </c>
      <c r="G346" s="61" t="n">
        <v>0</v>
      </c>
      <c r="H346" s="13" t="s">
        <v>1435</v>
      </c>
      <c r="I346" s="13"/>
      <c r="J346" s="13" t="s">
        <v>1457</v>
      </c>
      <c r="K346" s="13" t="s">
        <v>607</v>
      </c>
      <c r="L346" s="13" t="s">
        <v>1443</v>
      </c>
      <c r="M346" s="13"/>
    </row>
    <row r="347" customFormat="false" ht="15" hidden="false" customHeight="false" outlineLevel="0" collapsed="false">
      <c r="A347" s="13" t="s">
        <v>595</v>
      </c>
      <c r="B347" s="13" t="s">
        <v>594</v>
      </c>
      <c r="C347" s="13" t="s">
        <v>1448</v>
      </c>
      <c r="D347" s="13" t="s">
        <v>59</v>
      </c>
      <c r="E347" s="13" t="s">
        <v>773</v>
      </c>
      <c r="F347" s="13" t="s">
        <v>774</v>
      </c>
      <c r="G347" s="61" t="n">
        <v>249705786908</v>
      </c>
      <c r="H347" s="13" t="s">
        <v>1435</v>
      </c>
      <c r="I347" s="13"/>
      <c r="J347" s="13" t="s">
        <v>1459</v>
      </c>
      <c r="K347" s="13" t="s">
        <v>609</v>
      </c>
      <c r="L347" s="13" t="s">
        <v>1443</v>
      </c>
      <c r="M347" s="13"/>
    </row>
    <row r="348" customFormat="false" ht="15" hidden="false" customHeight="false" outlineLevel="0" collapsed="false">
      <c r="A348" s="13" t="s">
        <v>595</v>
      </c>
      <c r="B348" s="13" t="s">
        <v>594</v>
      </c>
      <c r="C348" s="13" t="s">
        <v>1434</v>
      </c>
      <c r="D348" s="13" t="s">
        <v>59</v>
      </c>
      <c r="E348" s="13" t="s">
        <v>776</v>
      </c>
      <c r="F348" s="13" t="s">
        <v>777</v>
      </c>
      <c r="G348" s="61" t="n">
        <v>10787821920</v>
      </c>
      <c r="H348" s="13" t="s">
        <v>1435</v>
      </c>
      <c r="I348" s="13"/>
      <c r="J348" s="13" t="s">
        <v>1451</v>
      </c>
      <c r="K348" s="13" t="s">
        <v>1437</v>
      </c>
      <c r="L348" s="13" t="s">
        <v>1438</v>
      </c>
      <c r="M348" s="13"/>
    </row>
    <row r="349" customFormat="false" ht="15" hidden="false" customHeight="false" outlineLevel="0" collapsed="false">
      <c r="A349" s="13" t="s">
        <v>595</v>
      </c>
      <c r="B349" s="13" t="s">
        <v>594</v>
      </c>
      <c r="C349" s="13" t="s">
        <v>1439</v>
      </c>
      <c r="D349" s="13" t="s">
        <v>59</v>
      </c>
      <c r="E349" s="13" t="s">
        <v>776</v>
      </c>
      <c r="F349" s="13" t="s">
        <v>777</v>
      </c>
      <c r="G349" s="61" t="n">
        <v>9595105332</v>
      </c>
      <c r="H349" s="13" t="s">
        <v>1435</v>
      </c>
      <c r="I349" s="13"/>
      <c r="J349" s="13" t="s">
        <v>1456</v>
      </c>
      <c r="K349" s="13" t="s">
        <v>1441</v>
      </c>
      <c r="L349" s="13" t="s">
        <v>1438</v>
      </c>
      <c r="M349" s="13"/>
    </row>
    <row r="350" customFormat="false" ht="15" hidden="false" customHeight="false" outlineLevel="0" collapsed="false">
      <c r="A350" s="13" t="s">
        <v>595</v>
      </c>
      <c r="B350" s="13" t="s">
        <v>594</v>
      </c>
      <c r="C350" s="13" t="s">
        <v>1442</v>
      </c>
      <c r="D350" s="13" t="s">
        <v>59</v>
      </c>
      <c r="E350" s="13" t="s">
        <v>776</v>
      </c>
      <c r="F350" s="13" t="s">
        <v>777</v>
      </c>
      <c r="G350" s="61" t="n">
        <v>6625105384</v>
      </c>
      <c r="H350" s="13" t="s">
        <v>1435</v>
      </c>
      <c r="I350" s="13"/>
      <c r="J350" s="13" t="s">
        <v>1456</v>
      </c>
      <c r="K350" s="13" t="s">
        <v>606</v>
      </c>
      <c r="L350" s="13" t="s">
        <v>1443</v>
      </c>
      <c r="M350" s="13"/>
    </row>
    <row r="351" customFormat="false" ht="15" hidden="false" customHeight="false" outlineLevel="0" collapsed="false">
      <c r="A351" s="13" t="s">
        <v>595</v>
      </c>
      <c r="B351" s="13" t="s">
        <v>594</v>
      </c>
      <c r="C351" s="13" t="s">
        <v>1444</v>
      </c>
      <c r="D351" s="13" t="s">
        <v>59</v>
      </c>
      <c r="E351" s="13" t="s">
        <v>776</v>
      </c>
      <c r="F351" s="13" t="s">
        <v>777</v>
      </c>
      <c r="G351" s="61" t="n">
        <v>5413792415</v>
      </c>
      <c r="H351" s="13" t="s">
        <v>1435</v>
      </c>
      <c r="I351" s="13"/>
      <c r="J351" s="13" t="s">
        <v>1457</v>
      </c>
      <c r="K351" s="13" t="s">
        <v>607</v>
      </c>
      <c r="L351" s="13" t="s">
        <v>1443</v>
      </c>
      <c r="M351" s="13"/>
    </row>
    <row r="352" customFormat="false" ht="15" hidden="false" customHeight="false" outlineLevel="0" collapsed="false">
      <c r="A352" s="13" t="s">
        <v>595</v>
      </c>
      <c r="B352" s="13" t="s">
        <v>594</v>
      </c>
      <c r="C352" s="13" t="s">
        <v>1446</v>
      </c>
      <c r="D352" s="13" t="s">
        <v>59</v>
      </c>
      <c r="E352" s="13" t="s">
        <v>776</v>
      </c>
      <c r="F352" s="13" t="s">
        <v>777</v>
      </c>
      <c r="G352" s="61" t="n">
        <v>5316132909</v>
      </c>
      <c r="H352" s="13" t="s">
        <v>1435</v>
      </c>
      <c r="I352" s="13"/>
      <c r="J352" s="13" t="s">
        <v>1458</v>
      </c>
      <c r="K352" s="13" t="s">
        <v>608</v>
      </c>
      <c r="L352" s="13" t="s">
        <v>1443</v>
      </c>
      <c r="M352" s="13"/>
    </row>
    <row r="353" customFormat="false" ht="15" hidden="false" customHeight="false" outlineLevel="0" collapsed="false">
      <c r="A353" s="13" t="s">
        <v>595</v>
      </c>
      <c r="B353" s="13" t="s">
        <v>594</v>
      </c>
      <c r="C353" s="13" t="s">
        <v>1448</v>
      </c>
      <c r="D353" s="13" t="s">
        <v>59</v>
      </c>
      <c r="E353" s="13" t="s">
        <v>776</v>
      </c>
      <c r="F353" s="13" t="s">
        <v>777</v>
      </c>
      <c r="G353" s="61" t="n">
        <v>6978678157</v>
      </c>
      <c r="H353" s="13" t="s">
        <v>1435</v>
      </c>
      <c r="I353" s="13"/>
      <c r="J353" s="13" t="s">
        <v>1459</v>
      </c>
      <c r="K353" s="13" t="s">
        <v>609</v>
      </c>
      <c r="L353" s="13" t="s">
        <v>1443</v>
      </c>
      <c r="M353" s="13"/>
    </row>
    <row r="354" customFormat="false" ht="15" hidden="false" customHeight="false" outlineLevel="0" collapsed="false">
      <c r="A354" s="13" t="s">
        <v>595</v>
      </c>
      <c r="B354" s="13" t="s">
        <v>594</v>
      </c>
      <c r="C354" s="13" t="s">
        <v>1439</v>
      </c>
      <c r="D354" s="13" t="s">
        <v>59</v>
      </c>
      <c r="E354" s="13" t="s">
        <v>779</v>
      </c>
      <c r="F354" s="13" t="s">
        <v>780</v>
      </c>
      <c r="G354" s="61" t="n">
        <v>0</v>
      </c>
      <c r="H354" s="13" t="s">
        <v>1435</v>
      </c>
      <c r="I354" s="13"/>
      <c r="J354" s="13" t="s">
        <v>1456</v>
      </c>
      <c r="K354" s="13" t="s">
        <v>1441</v>
      </c>
      <c r="L354" s="13" t="s">
        <v>1438</v>
      </c>
      <c r="M354" s="13"/>
    </row>
    <row r="355" customFormat="false" ht="15" hidden="false" customHeight="false" outlineLevel="0" collapsed="false">
      <c r="A355" s="13" t="s">
        <v>595</v>
      </c>
      <c r="B355" s="13" t="s">
        <v>594</v>
      </c>
      <c r="C355" s="13" t="s">
        <v>1442</v>
      </c>
      <c r="D355" s="13" t="s">
        <v>59</v>
      </c>
      <c r="E355" s="13" t="s">
        <v>779</v>
      </c>
      <c r="F355" s="13" t="s">
        <v>780</v>
      </c>
      <c r="G355" s="61" t="n">
        <v>401783743</v>
      </c>
      <c r="H355" s="13" t="s">
        <v>1435</v>
      </c>
      <c r="I355" s="13"/>
      <c r="J355" s="13" t="s">
        <v>1456</v>
      </c>
      <c r="K355" s="13" t="s">
        <v>606</v>
      </c>
      <c r="L355" s="13" t="s">
        <v>1443</v>
      </c>
      <c r="M355" s="13"/>
    </row>
    <row r="356" customFormat="false" ht="15" hidden="false" customHeight="false" outlineLevel="0" collapsed="false">
      <c r="A356" s="13" t="s">
        <v>595</v>
      </c>
      <c r="B356" s="13" t="s">
        <v>594</v>
      </c>
      <c r="C356" s="13" t="s">
        <v>1444</v>
      </c>
      <c r="D356" s="13" t="s">
        <v>59</v>
      </c>
      <c r="E356" s="13" t="s">
        <v>779</v>
      </c>
      <c r="F356" s="13" t="s">
        <v>780</v>
      </c>
      <c r="G356" s="61" t="n">
        <v>562533279</v>
      </c>
      <c r="H356" s="13" t="s">
        <v>1435</v>
      </c>
      <c r="I356" s="13"/>
      <c r="J356" s="13" t="s">
        <v>1457</v>
      </c>
      <c r="K356" s="13" t="s">
        <v>607</v>
      </c>
      <c r="L356" s="13" t="s">
        <v>1443</v>
      </c>
      <c r="M356" s="13"/>
    </row>
    <row r="357" customFormat="false" ht="15" hidden="false" customHeight="false" outlineLevel="0" collapsed="false">
      <c r="A357" s="13" t="s">
        <v>595</v>
      </c>
      <c r="B357" s="13" t="s">
        <v>594</v>
      </c>
      <c r="C357" s="13" t="s">
        <v>1446</v>
      </c>
      <c r="D357" s="13" t="s">
        <v>59</v>
      </c>
      <c r="E357" s="13" t="s">
        <v>779</v>
      </c>
      <c r="F357" s="13" t="s">
        <v>780</v>
      </c>
      <c r="G357" s="61" t="n">
        <v>1110561726</v>
      </c>
      <c r="H357" s="13" t="s">
        <v>1435</v>
      </c>
      <c r="I357" s="13"/>
      <c r="J357" s="13" t="s">
        <v>1458</v>
      </c>
      <c r="K357" s="13" t="s">
        <v>608</v>
      </c>
      <c r="L357" s="13" t="s">
        <v>1443</v>
      </c>
      <c r="M357" s="13"/>
    </row>
    <row r="358" customFormat="false" ht="15" hidden="false" customHeight="false" outlineLevel="0" collapsed="false">
      <c r="A358" s="13" t="s">
        <v>595</v>
      </c>
      <c r="B358" s="13" t="s">
        <v>594</v>
      </c>
      <c r="C358" s="13" t="s">
        <v>1448</v>
      </c>
      <c r="D358" s="13" t="s">
        <v>59</v>
      </c>
      <c r="E358" s="13" t="s">
        <v>779</v>
      </c>
      <c r="F358" s="13" t="s">
        <v>780</v>
      </c>
      <c r="G358" s="61" t="n">
        <v>699313037</v>
      </c>
      <c r="H358" s="13" t="s">
        <v>1435</v>
      </c>
      <c r="I358" s="13"/>
      <c r="J358" s="13" t="s">
        <v>1459</v>
      </c>
      <c r="K358" s="13" t="s">
        <v>609</v>
      </c>
      <c r="L358" s="13" t="s">
        <v>1443</v>
      </c>
      <c r="M358" s="13"/>
    </row>
    <row r="359" customFormat="false" ht="15" hidden="false" customHeight="false" outlineLevel="0" collapsed="false">
      <c r="A359" s="13" t="s">
        <v>595</v>
      </c>
      <c r="B359" s="13" t="s">
        <v>594</v>
      </c>
      <c r="C359" s="13" t="s">
        <v>1434</v>
      </c>
      <c r="D359" s="13" t="s">
        <v>59</v>
      </c>
      <c r="E359" s="13" t="s">
        <v>782</v>
      </c>
      <c r="F359" s="13" t="s">
        <v>783</v>
      </c>
      <c r="G359" s="61" t="n">
        <v>106484753509</v>
      </c>
      <c r="H359" s="13" t="s">
        <v>1435</v>
      </c>
      <c r="I359" s="13"/>
      <c r="J359" s="13"/>
      <c r="K359" s="13" t="s">
        <v>1437</v>
      </c>
      <c r="L359" s="13" t="s">
        <v>1438</v>
      </c>
      <c r="M359" s="13" t="s">
        <v>1450</v>
      </c>
    </row>
    <row r="360" customFormat="false" ht="15" hidden="false" customHeight="false" outlineLevel="0" collapsed="false">
      <c r="A360" s="13" t="s">
        <v>595</v>
      </c>
      <c r="B360" s="13" t="s">
        <v>594</v>
      </c>
      <c r="C360" s="13" t="s">
        <v>1439</v>
      </c>
      <c r="D360" s="13" t="s">
        <v>59</v>
      </c>
      <c r="E360" s="13" t="s">
        <v>782</v>
      </c>
      <c r="F360" s="13" t="s">
        <v>783</v>
      </c>
      <c r="G360" s="61" t="n">
        <v>835284734446</v>
      </c>
      <c r="H360" s="13" t="s">
        <v>1435</v>
      </c>
      <c r="I360" s="13"/>
      <c r="J360" s="13"/>
      <c r="K360" s="13" t="s">
        <v>1441</v>
      </c>
      <c r="L360" s="13" t="s">
        <v>1438</v>
      </c>
      <c r="M360" s="13" t="s">
        <v>1450</v>
      </c>
    </row>
    <row r="361" customFormat="false" ht="15" hidden="false" customHeight="false" outlineLevel="0" collapsed="false">
      <c r="A361" s="13" t="s">
        <v>595</v>
      </c>
      <c r="B361" s="13" t="s">
        <v>594</v>
      </c>
      <c r="C361" s="13" t="s">
        <v>1442</v>
      </c>
      <c r="D361" s="13" t="s">
        <v>59</v>
      </c>
      <c r="E361" s="13" t="s">
        <v>782</v>
      </c>
      <c r="F361" s="13" t="s">
        <v>783</v>
      </c>
      <c r="G361" s="61" t="n">
        <v>814727009142</v>
      </c>
      <c r="H361" s="13" t="s">
        <v>1435</v>
      </c>
      <c r="I361" s="13"/>
      <c r="J361" s="13"/>
      <c r="K361" s="13" t="s">
        <v>606</v>
      </c>
      <c r="L361" s="13" t="s">
        <v>1443</v>
      </c>
      <c r="M361" s="13" t="s">
        <v>1450</v>
      </c>
    </row>
    <row r="362" customFormat="false" ht="15" hidden="false" customHeight="false" outlineLevel="0" collapsed="false">
      <c r="A362" s="13" t="s">
        <v>595</v>
      </c>
      <c r="B362" s="13" t="s">
        <v>594</v>
      </c>
      <c r="C362" s="13" t="s">
        <v>1444</v>
      </c>
      <c r="D362" s="13" t="s">
        <v>59</v>
      </c>
      <c r="E362" s="13" t="s">
        <v>782</v>
      </c>
      <c r="F362" s="13" t="s">
        <v>783</v>
      </c>
      <c r="G362" s="61" t="n">
        <v>135635009303</v>
      </c>
      <c r="H362" s="13" t="s">
        <v>1435</v>
      </c>
      <c r="I362" s="13"/>
      <c r="J362" s="13"/>
      <c r="K362" s="13" t="s">
        <v>607</v>
      </c>
      <c r="L362" s="13" t="s">
        <v>1443</v>
      </c>
      <c r="M362" s="13" t="s">
        <v>1450</v>
      </c>
    </row>
    <row r="363" customFormat="false" ht="15" hidden="false" customHeight="false" outlineLevel="0" collapsed="false">
      <c r="A363" s="13" t="s">
        <v>595</v>
      </c>
      <c r="B363" s="13" t="s">
        <v>594</v>
      </c>
      <c r="C363" s="13" t="s">
        <v>1446</v>
      </c>
      <c r="D363" s="13" t="s">
        <v>59</v>
      </c>
      <c r="E363" s="13" t="s">
        <v>782</v>
      </c>
      <c r="F363" s="13" t="s">
        <v>783</v>
      </c>
      <c r="G363" s="61" t="n">
        <v>128661843206</v>
      </c>
      <c r="H363" s="13" t="s">
        <v>1435</v>
      </c>
      <c r="I363" s="13"/>
      <c r="J363" s="13"/>
      <c r="K363" s="13" t="s">
        <v>608</v>
      </c>
      <c r="L363" s="13" t="s">
        <v>1443</v>
      </c>
      <c r="M363" s="13" t="s">
        <v>1450</v>
      </c>
    </row>
    <row r="364" customFormat="false" ht="15" hidden="false" customHeight="false" outlineLevel="0" collapsed="false">
      <c r="A364" s="13" t="s">
        <v>595</v>
      </c>
      <c r="B364" s="13" t="s">
        <v>594</v>
      </c>
      <c r="C364" s="13" t="s">
        <v>1448</v>
      </c>
      <c r="D364" s="13" t="s">
        <v>59</v>
      </c>
      <c r="E364" s="13" t="s">
        <v>782</v>
      </c>
      <c r="F364" s="13" t="s">
        <v>783</v>
      </c>
      <c r="G364" s="61" t="n">
        <v>538151508721</v>
      </c>
      <c r="H364" s="13" t="s">
        <v>1435</v>
      </c>
      <c r="I364" s="13"/>
      <c r="J364" s="13"/>
      <c r="K364" s="13" t="s">
        <v>609</v>
      </c>
      <c r="L364" s="13" t="s">
        <v>1443</v>
      </c>
      <c r="M364" s="13" t="s">
        <v>1450</v>
      </c>
    </row>
    <row r="365" customFormat="false" ht="15" hidden="false" customHeight="false" outlineLevel="0" collapsed="false">
      <c r="A365" s="13" t="s">
        <v>595</v>
      </c>
      <c r="B365" s="13" t="s">
        <v>594</v>
      </c>
      <c r="C365" s="13" t="s">
        <v>1434</v>
      </c>
      <c r="D365" s="13" t="s">
        <v>59</v>
      </c>
      <c r="E365" s="13" t="s">
        <v>784</v>
      </c>
      <c r="F365" s="13" t="s">
        <v>409</v>
      </c>
      <c r="G365" s="61" t="n">
        <v>154913824897</v>
      </c>
      <c r="H365" s="13" t="s">
        <v>1435</v>
      </c>
      <c r="I365" s="13"/>
      <c r="J365" s="13"/>
      <c r="K365" s="13" t="s">
        <v>1437</v>
      </c>
      <c r="L365" s="13" t="s">
        <v>1438</v>
      </c>
      <c r="M365" s="13" t="s">
        <v>1450</v>
      </c>
    </row>
    <row r="366" customFormat="false" ht="15" hidden="false" customHeight="false" outlineLevel="0" collapsed="false">
      <c r="A366" s="13" t="s">
        <v>595</v>
      </c>
      <c r="B366" s="13" t="s">
        <v>594</v>
      </c>
      <c r="C366" s="13" t="s">
        <v>1439</v>
      </c>
      <c r="D366" s="13" t="s">
        <v>59</v>
      </c>
      <c r="E366" s="13" t="s">
        <v>784</v>
      </c>
      <c r="F366" s="13" t="s">
        <v>409</v>
      </c>
      <c r="G366" s="61" t="n">
        <v>912943958421</v>
      </c>
      <c r="H366" s="13" t="s">
        <v>1435</v>
      </c>
      <c r="I366" s="13"/>
      <c r="J366" s="13"/>
      <c r="K366" s="13" t="s">
        <v>1441</v>
      </c>
      <c r="L366" s="13" t="s">
        <v>1438</v>
      </c>
      <c r="M366" s="13" t="s">
        <v>1450</v>
      </c>
    </row>
    <row r="367" customFormat="false" ht="15" hidden="false" customHeight="false" outlineLevel="0" collapsed="false">
      <c r="A367" s="13" t="s">
        <v>595</v>
      </c>
      <c r="B367" s="13" t="s">
        <v>594</v>
      </c>
      <c r="C367" s="13" t="s">
        <v>1442</v>
      </c>
      <c r="D367" s="13" t="s">
        <v>59</v>
      </c>
      <c r="E367" s="13" t="s">
        <v>784</v>
      </c>
      <c r="F367" s="13" t="s">
        <v>409</v>
      </c>
      <c r="G367" s="61" t="n">
        <v>1027729329890</v>
      </c>
      <c r="H367" s="13" t="s">
        <v>1435</v>
      </c>
      <c r="I367" s="13"/>
      <c r="J367" s="13"/>
      <c r="K367" s="13" t="s">
        <v>606</v>
      </c>
      <c r="L367" s="13" t="s">
        <v>1443</v>
      </c>
      <c r="M367" s="13" t="s">
        <v>1450</v>
      </c>
    </row>
    <row r="368" customFormat="false" ht="15" hidden="false" customHeight="false" outlineLevel="0" collapsed="false">
      <c r="A368" s="13" t="s">
        <v>595</v>
      </c>
      <c r="B368" s="13" t="s">
        <v>594</v>
      </c>
      <c r="C368" s="13" t="s">
        <v>1444</v>
      </c>
      <c r="D368" s="13" t="s">
        <v>59</v>
      </c>
      <c r="E368" s="13" t="s">
        <v>784</v>
      </c>
      <c r="F368" s="13" t="s">
        <v>409</v>
      </c>
      <c r="G368" s="61" t="n">
        <v>1039282249712</v>
      </c>
      <c r="H368" s="13" t="s">
        <v>1435</v>
      </c>
      <c r="I368" s="13"/>
      <c r="J368" s="13"/>
      <c r="K368" s="13" t="s">
        <v>607</v>
      </c>
      <c r="L368" s="13" t="s">
        <v>1443</v>
      </c>
      <c r="M368" s="13" t="s">
        <v>1450</v>
      </c>
    </row>
    <row r="369" customFormat="false" ht="15" hidden="false" customHeight="false" outlineLevel="0" collapsed="false">
      <c r="A369" s="13" t="s">
        <v>595</v>
      </c>
      <c r="B369" s="13" t="s">
        <v>594</v>
      </c>
      <c r="C369" s="13" t="s">
        <v>1446</v>
      </c>
      <c r="D369" s="13" t="s">
        <v>59</v>
      </c>
      <c r="E369" s="13" t="s">
        <v>784</v>
      </c>
      <c r="F369" s="13" t="s">
        <v>409</v>
      </c>
      <c r="G369" s="61" t="n">
        <v>1002718575656</v>
      </c>
      <c r="H369" s="13" t="s">
        <v>1435</v>
      </c>
      <c r="I369" s="13"/>
      <c r="J369" s="13"/>
      <c r="K369" s="13" t="s">
        <v>608</v>
      </c>
      <c r="L369" s="13" t="s">
        <v>1443</v>
      </c>
      <c r="M369" s="13" t="s">
        <v>1450</v>
      </c>
    </row>
    <row r="370" customFormat="false" ht="15" hidden="false" customHeight="false" outlineLevel="0" collapsed="false">
      <c r="A370" s="13" t="s">
        <v>595</v>
      </c>
      <c r="B370" s="13" t="s">
        <v>594</v>
      </c>
      <c r="C370" s="13" t="s">
        <v>1448</v>
      </c>
      <c r="D370" s="13" t="s">
        <v>59</v>
      </c>
      <c r="E370" s="13" t="s">
        <v>784</v>
      </c>
      <c r="F370" s="13" t="s">
        <v>409</v>
      </c>
      <c r="G370" s="61" t="n">
        <v>1152073419657</v>
      </c>
      <c r="H370" s="13" t="s">
        <v>1435</v>
      </c>
      <c r="I370" s="13"/>
      <c r="J370" s="13"/>
      <c r="K370" s="13" t="s">
        <v>609</v>
      </c>
      <c r="L370" s="13" t="s">
        <v>1443</v>
      </c>
      <c r="M370" s="13" t="s">
        <v>1450</v>
      </c>
    </row>
    <row r="371" customFormat="false" ht="15" hidden="false" customHeight="false" outlineLevel="0" collapsed="false">
      <c r="A371" s="13" t="s">
        <v>595</v>
      </c>
      <c r="B371" s="13" t="s">
        <v>594</v>
      </c>
      <c r="C371" s="13" t="s">
        <v>1434</v>
      </c>
      <c r="D371" s="13" t="s">
        <v>59</v>
      </c>
      <c r="E371" s="13" t="s">
        <v>785</v>
      </c>
      <c r="F371" s="13" t="s">
        <v>786</v>
      </c>
      <c r="G371" s="61" t="n">
        <v>3325000000000</v>
      </c>
      <c r="H371" s="13" t="s">
        <v>1435</v>
      </c>
      <c r="I371" s="13"/>
      <c r="J371" s="13" t="s">
        <v>1451</v>
      </c>
      <c r="K371" s="13" t="s">
        <v>1437</v>
      </c>
      <c r="L371" s="13" t="s">
        <v>1438</v>
      </c>
      <c r="M371" s="13"/>
    </row>
    <row r="372" customFormat="false" ht="15" hidden="false" customHeight="false" outlineLevel="0" collapsed="false">
      <c r="A372" s="13" t="s">
        <v>595</v>
      </c>
      <c r="B372" s="13" t="s">
        <v>594</v>
      </c>
      <c r="C372" s="13" t="s">
        <v>1439</v>
      </c>
      <c r="D372" s="13" t="s">
        <v>59</v>
      </c>
      <c r="E372" s="13" t="s">
        <v>785</v>
      </c>
      <c r="F372" s="13" t="s">
        <v>786</v>
      </c>
      <c r="G372" s="61" t="n">
        <v>3325000000000</v>
      </c>
      <c r="H372" s="13" t="s">
        <v>1435</v>
      </c>
      <c r="I372" s="13"/>
      <c r="J372" s="13" t="s">
        <v>1460</v>
      </c>
      <c r="K372" s="13" t="s">
        <v>1441</v>
      </c>
      <c r="L372" s="13" t="s">
        <v>1438</v>
      </c>
      <c r="M372" s="13"/>
    </row>
    <row r="373" customFormat="false" ht="15" hidden="false" customHeight="false" outlineLevel="0" collapsed="false">
      <c r="A373" s="13" t="s">
        <v>595</v>
      </c>
      <c r="B373" s="13" t="s">
        <v>594</v>
      </c>
      <c r="C373" s="13" t="s">
        <v>1442</v>
      </c>
      <c r="D373" s="13" t="s">
        <v>59</v>
      </c>
      <c r="E373" s="13" t="s">
        <v>785</v>
      </c>
      <c r="F373" s="13" t="s">
        <v>786</v>
      </c>
      <c r="G373" s="61" t="n">
        <v>3325000000000</v>
      </c>
      <c r="H373" s="13" t="s">
        <v>1435</v>
      </c>
      <c r="I373" s="13"/>
      <c r="J373" s="13" t="s">
        <v>1460</v>
      </c>
      <c r="K373" s="13" t="s">
        <v>606</v>
      </c>
      <c r="L373" s="13" t="s">
        <v>1443</v>
      </c>
      <c r="M373" s="13"/>
    </row>
    <row r="374" customFormat="false" ht="15" hidden="false" customHeight="false" outlineLevel="0" collapsed="false">
      <c r="A374" s="13" t="s">
        <v>595</v>
      </c>
      <c r="B374" s="13" t="s">
        <v>594</v>
      </c>
      <c r="C374" s="13" t="s">
        <v>1444</v>
      </c>
      <c r="D374" s="13" t="s">
        <v>59</v>
      </c>
      <c r="E374" s="13" t="s">
        <v>785</v>
      </c>
      <c r="F374" s="13" t="s">
        <v>786</v>
      </c>
      <c r="G374" s="61" t="n">
        <v>3325000000000</v>
      </c>
      <c r="H374" s="13" t="s">
        <v>1435</v>
      </c>
      <c r="I374" s="13"/>
      <c r="J374" s="13" t="s">
        <v>1461</v>
      </c>
      <c r="K374" s="13" t="s">
        <v>607</v>
      </c>
      <c r="L374" s="13" t="s">
        <v>1443</v>
      </c>
      <c r="M374" s="13"/>
    </row>
    <row r="375" customFormat="false" ht="15" hidden="false" customHeight="false" outlineLevel="0" collapsed="false">
      <c r="A375" s="13" t="s">
        <v>595</v>
      </c>
      <c r="B375" s="13" t="s">
        <v>594</v>
      </c>
      <c r="C375" s="13" t="s">
        <v>1446</v>
      </c>
      <c r="D375" s="13" t="s">
        <v>59</v>
      </c>
      <c r="E375" s="13" t="s">
        <v>785</v>
      </c>
      <c r="F375" s="13" t="s">
        <v>786</v>
      </c>
      <c r="G375" s="61" t="n">
        <v>3325000000000</v>
      </c>
      <c r="H375" s="13" t="s">
        <v>1435</v>
      </c>
      <c r="I375" s="13"/>
      <c r="J375" s="13" t="s">
        <v>1462</v>
      </c>
      <c r="K375" s="13" t="s">
        <v>608</v>
      </c>
      <c r="L375" s="13" t="s">
        <v>1443</v>
      </c>
      <c r="M375" s="13"/>
    </row>
    <row r="376" customFormat="false" ht="15" hidden="false" customHeight="false" outlineLevel="0" collapsed="false">
      <c r="A376" s="13" t="s">
        <v>595</v>
      </c>
      <c r="B376" s="13" t="s">
        <v>594</v>
      </c>
      <c r="C376" s="13" t="s">
        <v>1448</v>
      </c>
      <c r="D376" s="13" t="s">
        <v>59</v>
      </c>
      <c r="E376" s="13" t="s">
        <v>785</v>
      </c>
      <c r="F376" s="13" t="s">
        <v>786</v>
      </c>
      <c r="G376" s="61" t="n">
        <v>3325000000000</v>
      </c>
      <c r="H376" s="13" t="s">
        <v>1435</v>
      </c>
      <c r="I376" s="13"/>
      <c r="J376" s="13" t="s">
        <v>1463</v>
      </c>
      <c r="K376" s="13" t="s">
        <v>609</v>
      </c>
      <c r="L376" s="13" t="s">
        <v>1443</v>
      </c>
      <c r="M376" s="13"/>
    </row>
    <row r="377" customFormat="false" ht="15" hidden="false" customHeight="false" outlineLevel="0" collapsed="false">
      <c r="A377" s="13" t="s">
        <v>595</v>
      </c>
      <c r="B377" s="13" t="s">
        <v>594</v>
      </c>
      <c r="C377" s="13" t="s">
        <v>1434</v>
      </c>
      <c r="D377" s="13" t="s">
        <v>59</v>
      </c>
      <c r="E377" s="13" t="s">
        <v>788</v>
      </c>
      <c r="F377" s="13" t="s">
        <v>789</v>
      </c>
      <c r="G377" s="61" t="n">
        <v>3284159332</v>
      </c>
      <c r="H377" s="13" t="s">
        <v>1435</v>
      </c>
      <c r="I377" s="13"/>
      <c r="J377" s="13" t="s">
        <v>1451</v>
      </c>
      <c r="K377" s="13" t="s">
        <v>1437</v>
      </c>
      <c r="L377" s="13" t="s">
        <v>1438</v>
      </c>
      <c r="M377" s="13"/>
    </row>
    <row r="378" customFormat="false" ht="15" hidden="false" customHeight="false" outlineLevel="0" collapsed="false">
      <c r="A378" s="13" t="s">
        <v>595</v>
      </c>
      <c r="B378" s="13" t="s">
        <v>594</v>
      </c>
      <c r="C378" s="13" t="s">
        <v>1439</v>
      </c>
      <c r="D378" s="13" t="s">
        <v>59</v>
      </c>
      <c r="E378" s="13" t="s">
        <v>788</v>
      </c>
      <c r="F378" s="13" t="s">
        <v>789</v>
      </c>
      <c r="G378" s="61" t="n">
        <v>3284159332</v>
      </c>
      <c r="H378" s="13" t="s">
        <v>1435</v>
      </c>
      <c r="I378" s="13"/>
      <c r="J378" s="13" t="s">
        <v>1460</v>
      </c>
      <c r="K378" s="13" t="s">
        <v>1441</v>
      </c>
      <c r="L378" s="13" t="s">
        <v>1438</v>
      </c>
      <c r="M378" s="13"/>
    </row>
    <row r="379" customFormat="false" ht="15" hidden="false" customHeight="false" outlineLevel="0" collapsed="false">
      <c r="A379" s="13" t="s">
        <v>595</v>
      </c>
      <c r="B379" s="13" t="s">
        <v>594</v>
      </c>
      <c r="C379" s="13" t="s">
        <v>1442</v>
      </c>
      <c r="D379" s="13" t="s">
        <v>59</v>
      </c>
      <c r="E379" s="13" t="s">
        <v>788</v>
      </c>
      <c r="F379" s="13" t="s">
        <v>789</v>
      </c>
      <c r="G379" s="61" t="n">
        <v>3284159332</v>
      </c>
      <c r="H379" s="13" t="s">
        <v>1435</v>
      </c>
      <c r="I379" s="13"/>
      <c r="J379" s="13" t="s">
        <v>1460</v>
      </c>
      <c r="K379" s="13" t="s">
        <v>606</v>
      </c>
      <c r="L379" s="13" t="s">
        <v>1443</v>
      </c>
      <c r="M379" s="13"/>
    </row>
    <row r="380" customFormat="false" ht="15" hidden="false" customHeight="false" outlineLevel="0" collapsed="false">
      <c r="A380" s="13" t="s">
        <v>595</v>
      </c>
      <c r="B380" s="13" t="s">
        <v>594</v>
      </c>
      <c r="C380" s="13" t="s">
        <v>1444</v>
      </c>
      <c r="D380" s="13" t="s">
        <v>59</v>
      </c>
      <c r="E380" s="13" t="s">
        <v>788</v>
      </c>
      <c r="F380" s="13" t="s">
        <v>789</v>
      </c>
      <c r="G380" s="61" t="n">
        <v>3284159332</v>
      </c>
      <c r="H380" s="13" t="s">
        <v>1435</v>
      </c>
      <c r="I380" s="13"/>
      <c r="J380" s="13" t="s">
        <v>1461</v>
      </c>
      <c r="K380" s="13" t="s">
        <v>607</v>
      </c>
      <c r="L380" s="13" t="s">
        <v>1443</v>
      </c>
      <c r="M380" s="13"/>
    </row>
    <row r="381" customFormat="false" ht="15" hidden="false" customHeight="false" outlineLevel="0" collapsed="false">
      <c r="A381" s="13" t="s">
        <v>595</v>
      </c>
      <c r="B381" s="13" t="s">
        <v>594</v>
      </c>
      <c r="C381" s="13" t="s">
        <v>1446</v>
      </c>
      <c r="D381" s="13" t="s">
        <v>59</v>
      </c>
      <c r="E381" s="13" t="s">
        <v>788</v>
      </c>
      <c r="F381" s="13" t="s">
        <v>789</v>
      </c>
      <c r="G381" s="61" t="n">
        <v>3284159332</v>
      </c>
      <c r="H381" s="13" t="s">
        <v>1435</v>
      </c>
      <c r="I381" s="13"/>
      <c r="J381" s="13" t="s">
        <v>1462</v>
      </c>
      <c r="K381" s="13" t="s">
        <v>608</v>
      </c>
      <c r="L381" s="13" t="s">
        <v>1443</v>
      </c>
      <c r="M381" s="13"/>
    </row>
    <row r="382" customFormat="false" ht="15" hidden="false" customHeight="false" outlineLevel="0" collapsed="false">
      <c r="A382" s="13" t="s">
        <v>595</v>
      </c>
      <c r="B382" s="13" t="s">
        <v>594</v>
      </c>
      <c r="C382" s="13" t="s">
        <v>1448</v>
      </c>
      <c r="D382" s="13" t="s">
        <v>59</v>
      </c>
      <c r="E382" s="13" t="s">
        <v>788</v>
      </c>
      <c r="F382" s="13" t="s">
        <v>789</v>
      </c>
      <c r="G382" s="61" t="n">
        <v>3284159332</v>
      </c>
      <c r="H382" s="13" t="s">
        <v>1435</v>
      </c>
      <c r="I382" s="13"/>
      <c r="J382" s="13" t="s">
        <v>1463</v>
      </c>
      <c r="K382" s="13" t="s">
        <v>609</v>
      </c>
      <c r="L382" s="13" t="s">
        <v>1443</v>
      </c>
      <c r="M382" s="13"/>
    </row>
    <row r="383" customFormat="false" ht="15" hidden="false" customHeight="false" outlineLevel="0" collapsed="false">
      <c r="A383" s="13" t="s">
        <v>595</v>
      </c>
      <c r="B383" s="13" t="s">
        <v>594</v>
      </c>
      <c r="C383" s="13" t="s">
        <v>1434</v>
      </c>
      <c r="D383" s="13" t="s">
        <v>59</v>
      </c>
      <c r="E383" s="13" t="s">
        <v>791</v>
      </c>
      <c r="F383" s="13" t="s">
        <v>792</v>
      </c>
      <c r="G383" s="61" t="n">
        <v>-38449339396</v>
      </c>
      <c r="H383" s="13" t="s">
        <v>1435</v>
      </c>
      <c r="I383" s="13"/>
      <c r="J383" s="13" t="s">
        <v>1451</v>
      </c>
      <c r="K383" s="13" t="s">
        <v>1437</v>
      </c>
      <c r="L383" s="13" t="s">
        <v>1438</v>
      </c>
      <c r="M383" s="13"/>
    </row>
    <row r="384" customFormat="false" ht="15" hidden="false" customHeight="false" outlineLevel="0" collapsed="false">
      <c r="A384" s="13" t="s">
        <v>595</v>
      </c>
      <c r="B384" s="13" t="s">
        <v>594</v>
      </c>
      <c r="C384" s="13" t="s">
        <v>1439</v>
      </c>
      <c r="D384" s="13" t="s">
        <v>59</v>
      </c>
      <c r="E384" s="13" t="s">
        <v>791</v>
      </c>
      <c r="F384" s="13" t="s">
        <v>792</v>
      </c>
      <c r="G384" s="61" t="n">
        <v>-31033031403</v>
      </c>
      <c r="H384" s="13" t="s">
        <v>1435</v>
      </c>
      <c r="I384" s="13"/>
      <c r="J384" s="13" t="s">
        <v>1460</v>
      </c>
      <c r="K384" s="13" t="s">
        <v>1441</v>
      </c>
      <c r="L384" s="13" t="s">
        <v>1438</v>
      </c>
      <c r="M384" s="13"/>
    </row>
    <row r="385" customFormat="false" ht="15" hidden="false" customHeight="false" outlineLevel="0" collapsed="false">
      <c r="A385" s="13" t="s">
        <v>595</v>
      </c>
      <c r="B385" s="13" t="s">
        <v>594</v>
      </c>
      <c r="C385" s="13" t="s">
        <v>1442</v>
      </c>
      <c r="D385" s="13" t="s">
        <v>59</v>
      </c>
      <c r="E385" s="13" t="s">
        <v>791</v>
      </c>
      <c r="F385" s="13" t="s">
        <v>792</v>
      </c>
      <c r="G385" s="61" t="n">
        <v>-122376092871</v>
      </c>
      <c r="H385" s="13" t="s">
        <v>1435</v>
      </c>
      <c r="I385" s="13"/>
      <c r="J385" s="13" t="s">
        <v>1460</v>
      </c>
      <c r="K385" s="13" t="s">
        <v>606</v>
      </c>
      <c r="L385" s="13" t="s">
        <v>1443</v>
      </c>
      <c r="M385" s="13"/>
    </row>
    <row r="386" customFormat="false" ht="15" hidden="false" customHeight="false" outlineLevel="0" collapsed="false">
      <c r="A386" s="13" t="s">
        <v>595</v>
      </c>
      <c r="B386" s="13" t="s">
        <v>594</v>
      </c>
      <c r="C386" s="13" t="s">
        <v>1444</v>
      </c>
      <c r="D386" s="13" t="s">
        <v>59</v>
      </c>
      <c r="E386" s="13" t="s">
        <v>791</v>
      </c>
      <c r="F386" s="13" t="s">
        <v>792</v>
      </c>
      <c r="G386" s="61" t="n">
        <v>-231784665472</v>
      </c>
      <c r="H386" s="13" t="s">
        <v>1435</v>
      </c>
      <c r="I386" s="13"/>
      <c r="J386" s="13" t="s">
        <v>1461</v>
      </c>
      <c r="K386" s="13" t="s">
        <v>607</v>
      </c>
      <c r="L386" s="13" t="s">
        <v>1443</v>
      </c>
      <c r="M386" s="13"/>
    </row>
    <row r="387" customFormat="false" ht="15" hidden="false" customHeight="false" outlineLevel="0" collapsed="false">
      <c r="A387" s="13" t="s">
        <v>595</v>
      </c>
      <c r="B387" s="13" t="s">
        <v>594</v>
      </c>
      <c r="C387" s="13" t="s">
        <v>1446</v>
      </c>
      <c r="D387" s="13" t="s">
        <v>59</v>
      </c>
      <c r="E387" s="13" t="s">
        <v>791</v>
      </c>
      <c r="F387" s="13" t="s">
        <v>792</v>
      </c>
      <c r="G387" s="61" t="n">
        <v>-311516892081</v>
      </c>
      <c r="H387" s="13" t="s">
        <v>1435</v>
      </c>
      <c r="I387" s="13"/>
      <c r="J387" s="13" t="s">
        <v>1462</v>
      </c>
      <c r="K387" s="13" t="s">
        <v>608</v>
      </c>
      <c r="L387" s="13" t="s">
        <v>1443</v>
      </c>
      <c r="M387" s="13"/>
    </row>
    <row r="388" customFormat="false" ht="15" hidden="false" customHeight="false" outlineLevel="0" collapsed="false">
      <c r="A388" s="13" t="s">
        <v>595</v>
      </c>
      <c r="B388" s="13" t="s">
        <v>594</v>
      </c>
      <c r="C388" s="13" t="s">
        <v>1448</v>
      </c>
      <c r="D388" s="13" t="s">
        <v>59</v>
      </c>
      <c r="E388" s="13" t="s">
        <v>791</v>
      </c>
      <c r="F388" s="13" t="s">
        <v>792</v>
      </c>
      <c r="G388" s="61" t="n">
        <v>-306241065514</v>
      </c>
      <c r="H388" s="13" t="s">
        <v>1435</v>
      </c>
      <c r="I388" s="13"/>
      <c r="J388" s="13" t="s">
        <v>1463</v>
      </c>
      <c r="K388" s="13" t="s">
        <v>609</v>
      </c>
      <c r="L388" s="13" t="s">
        <v>1443</v>
      </c>
      <c r="M388" s="13"/>
    </row>
    <row r="389" customFormat="false" ht="15" hidden="false" customHeight="false" outlineLevel="0" collapsed="false">
      <c r="A389" s="13" t="s">
        <v>595</v>
      </c>
      <c r="B389" s="13" t="s">
        <v>594</v>
      </c>
      <c r="C389" s="13" t="s">
        <v>1434</v>
      </c>
      <c r="D389" s="13" t="s">
        <v>59</v>
      </c>
      <c r="E389" s="13" t="s">
        <v>794</v>
      </c>
      <c r="F389" s="13" t="s">
        <v>416</v>
      </c>
      <c r="G389" s="61" t="n">
        <v>3289834819936</v>
      </c>
      <c r="H389" s="13" t="s">
        <v>1435</v>
      </c>
      <c r="I389" s="13"/>
      <c r="J389" s="13"/>
      <c r="K389" s="13" t="s">
        <v>1437</v>
      </c>
      <c r="L389" s="13" t="s">
        <v>1438</v>
      </c>
      <c r="M389" s="13" t="s">
        <v>1450</v>
      </c>
    </row>
    <row r="390" customFormat="false" ht="15" hidden="false" customHeight="false" outlineLevel="0" collapsed="false">
      <c r="A390" s="13" t="s">
        <v>595</v>
      </c>
      <c r="B390" s="13" t="s">
        <v>594</v>
      </c>
      <c r="C390" s="13" t="s">
        <v>1439</v>
      </c>
      <c r="D390" s="13" t="s">
        <v>59</v>
      </c>
      <c r="E390" s="13" t="s">
        <v>794</v>
      </c>
      <c r="F390" s="13" t="s">
        <v>416</v>
      </c>
      <c r="G390" s="61" t="n">
        <v>3297251127929</v>
      </c>
      <c r="H390" s="13" t="s">
        <v>1435</v>
      </c>
      <c r="I390" s="13"/>
      <c r="J390" s="13"/>
      <c r="K390" s="13" t="s">
        <v>1441</v>
      </c>
      <c r="L390" s="13" t="s">
        <v>1438</v>
      </c>
      <c r="M390" s="13" t="s">
        <v>1450</v>
      </c>
    </row>
    <row r="391" customFormat="false" ht="15" hidden="false" customHeight="false" outlineLevel="0" collapsed="false">
      <c r="A391" s="13" t="s">
        <v>595</v>
      </c>
      <c r="B391" s="13" t="s">
        <v>594</v>
      </c>
      <c r="C391" s="13" t="s">
        <v>1442</v>
      </c>
      <c r="D391" s="13" t="s">
        <v>59</v>
      </c>
      <c r="E391" s="13" t="s">
        <v>794</v>
      </c>
      <c r="F391" s="13" t="s">
        <v>416</v>
      </c>
      <c r="G391" s="61" t="n">
        <v>3205908066461</v>
      </c>
      <c r="H391" s="13" t="s">
        <v>1435</v>
      </c>
      <c r="I391" s="13"/>
      <c r="J391" s="13"/>
      <c r="K391" s="13" t="s">
        <v>606</v>
      </c>
      <c r="L391" s="13" t="s">
        <v>1443</v>
      </c>
      <c r="M391" s="13" t="s">
        <v>1450</v>
      </c>
    </row>
    <row r="392" customFormat="false" ht="15" hidden="false" customHeight="false" outlineLevel="0" collapsed="false">
      <c r="A392" s="13" t="s">
        <v>595</v>
      </c>
      <c r="B392" s="13" t="s">
        <v>594</v>
      </c>
      <c r="C392" s="13" t="s">
        <v>1444</v>
      </c>
      <c r="D392" s="13" t="s">
        <v>59</v>
      </c>
      <c r="E392" s="13" t="s">
        <v>794</v>
      </c>
      <c r="F392" s="13" t="s">
        <v>416</v>
      </c>
      <c r="G392" s="61" t="n">
        <v>3096499493860</v>
      </c>
      <c r="H392" s="13" t="s">
        <v>1435</v>
      </c>
      <c r="I392" s="13"/>
      <c r="J392" s="13"/>
      <c r="K392" s="13" t="s">
        <v>607</v>
      </c>
      <c r="L392" s="13" t="s">
        <v>1443</v>
      </c>
      <c r="M392" s="13" t="s">
        <v>1450</v>
      </c>
    </row>
    <row r="393" customFormat="false" ht="15" hidden="false" customHeight="false" outlineLevel="0" collapsed="false">
      <c r="A393" s="13" t="s">
        <v>595</v>
      </c>
      <c r="B393" s="13" t="s">
        <v>594</v>
      </c>
      <c r="C393" s="13" t="s">
        <v>1446</v>
      </c>
      <c r="D393" s="13" t="s">
        <v>59</v>
      </c>
      <c r="E393" s="13" t="s">
        <v>794</v>
      </c>
      <c r="F393" s="13" t="s">
        <v>416</v>
      </c>
      <c r="G393" s="61" t="n">
        <v>3016767267251</v>
      </c>
      <c r="H393" s="13" t="s">
        <v>1435</v>
      </c>
      <c r="I393" s="13"/>
      <c r="J393" s="13"/>
      <c r="K393" s="13" t="s">
        <v>608</v>
      </c>
      <c r="L393" s="13" t="s">
        <v>1443</v>
      </c>
      <c r="M393" s="13" t="s">
        <v>1450</v>
      </c>
    </row>
    <row r="394" customFormat="false" ht="15" hidden="false" customHeight="false" outlineLevel="0" collapsed="false">
      <c r="A394" s="13" t="s">
        <v>595</v>
      </c>
      <c r="B394" s="13" t="s">
        <v>594</v>
      </c>
      <c r="C394" s="13" t="s">
        <v>1448</v>
      </c>
      <c r="D394" s="13" t="s">
        <v>59</v>
      </c>
      <c r="E394" s="13" t="s">
        <v>794</v>
      </c>
      <c r="F394" s="13" t="s">
        <v>416</v>
      </c>
      <c r="G394" s="61" t="n">
        <v>3022043093818</v>
      </c>
      <c r="H394" s="13" t="s">
        <v>1435</v>
      </c>
      <c r="I394" s="13"/>
      <c r="J394" s="13"/>
      <c r="K394" s="13" t="s">
        <v>609</v>
      </c>
      <c r="L394" s="13" t="s">
        <v>1443</v>
      </c>
      <c r="M394" s="13" t="s">
        <v>1450</v>
      </c>
    </row>
    <row r="395" customFormat="false" ht="15" hidden="false" customHeight="false" outlineLevel="0" collapsed="false">
      <c r="A395" s="13" t="s">
        <v>595</v>
      </c>
      <c r="B395" s="13" t="s">
        <v>594</v>
      </c>
      <c r="C395" s="13" t="s">
        <v>1434</v>
      </c>
      <c r="D395" s="13" t="s">
        <v>59</v>
      </c>
      <c r="E395" s="13" t="s">
        <v>795</v>
      </c>
      <c r="F395" s="13" t="s">
        <v>418</v>
      </c>
      <c r="G395" s="61" t="n">
        <v>922619320</v>
      </c>
      <c r="H395" s="13" t="s">
        <v>1435</v>
      </c>
      <c r="I395" s="13"/>
      <c r="J395" s="13" t="s">
        <v>1451</v>
      </c>
      <c r="K395" s="13" t="s">
        <v>1437</v>
      </c>
      <c r="L395" s="13" t="s">
        <v>1438</v>
      </c>
      <c r="M395" s="13"/>
    </row>
    <row r="396" customFormat="false" ht="15" hidden="false" customHeight="false" outlineLevel="0" collapsed="false">
      <c r="A396" s="13" t="s">
        <v>595</v>
      </c>
      <c r="B396" s="13" t="s">
        <v>594</v>
      </c>
      <c r="C396" s="13" t="s">
        <v>1439</v>
      </c>
      <c r="D396" s="13" t="s">
        <v>59</v>
      </c>
      <c r="E396" s="13" t="s">
        <v>795</v>
      </c>
      <c r="F396" s="13" t="s">
        <v>418</v>
      </c>
      <c r="G396" s="61" t="n">
        <v>1016715908</v>
      </c>
      <c r="H396" s="13" t="s">
        <v>1435</v>
      </c>
      <c r="I396" s="13"/>
      <c r="J396" s="13" t="s">
        <v>1460</v>
      </c>
      <c r="K396" s="13" t="s">
        <v>1441</v>
      </c>
      <c r="L396" s="13" t="s">
        <v>1438</v>
      </c>
      <c r="M396" s="13"/>
    </row>
    <row r="397" customFormat="false" ht="15" hidden="false" customHeight="false" outlineLevel="0" collapsed="false">
      <c r="A397" s="13" t="s">
        <v>595</v>
      </c>
      <c r="B397" s="13" t="s">
        <v>594</v>
      </c>
      <c r="C397" s="13" t="s">
        <v>1442</v>
      </c>
      <c r="D397" s="13" t="s">
        <v>59</v>
      </c>
      <c r="E397" s="13" t="s">
        <v>795</v>
      </c>
      <c r="F397" s="13" t="s">
        <v>418</v>
      </c>
      <c r="G397" s="61" t="n">
        <v>983736061</v>
      </c>
      <c r="H397" s="13" t="s">
        <v>1435</v>
      </c>
      <c r="I397" s="13"/>
      <c r="J397" s="13" t="s">
        <v>1460</v>
      </c>
      <c r="K397" s="13" t="s">
        <v>606</v>
      </c>
      <c r="L397" s="13" t="s">
        <v>1443</v>
      </c>
      <c r="M397" s="13"/>
    </row>
    <row r="398" customFormat="false" ht="15" hidden="false" customHeight="false" outlineLevel="0" collapsed="false">
      <c r="A398" s="13" t="s">
        <v>595</v>
      </c>
      <c r="B398" s="13" t="s">
        <v>594</v>
      </c>
      <c r="C398" s="13" t="s">
        <v>1444</v>
      </c>
      <c r="D398" s="13" t="s">
        <v>59</v>
      </c>
      <c r="E398" s="13" t="s">
        <v>795</v>
      </c>
      <c r="F398" s="13" t="s">
        <v>418</v>
      </c>
      <c r="G398" s="61" t="n">
        <v>1224514141</v>
      </c>
      <c r="H398" s="13" t="s">
        <v>1435</v>
      </c>
      <c r="I398" s="13"/>
      <c r="J398" s="13" t="s">
        <v>1461</v>
      </c>
      <c r="K398" s="13" t="s">
        <v>607</v>
      </c>
      <c r="L398" s="13" t="s">
        <v>1443</v>
      </c>
      <c r="M398" s="13"/>
    </row>
    <row r="399" customFormat="false" ht="15" hidden="false" customHeight="false" outlineLevel="0" collapsed="false">
      <c r="A399" s="13" t="s">
        <v>595</v>
      </c>
      <c r="B399" s="13" t="s">
        <v>594</v>
      </c>
      <c r="C399" s="13" t="s">
        <v>1446</v>
      </c>
      <c r="D399" s="13" t="s">
        <v>59</v>
      </c>
      <c r="E399" s="13" t="s">
        <v>795</v>
      </c>
      <c r="F399" s="13" t="s">
        <v>418</v>
      </c>
      <c r="G399" s="61" t="n">
        <v>1619569477</v>
      </c>
      <c r="H399" s="13" t="s">
        <v>1435</v>
      </c>
      <c r="I399" s="13"/>
      <c r="J399" s="13" t="s">
        <v>1462</v>
      </c>
      <c r="K399" s="13" t="s">
        <v>608</v>
      </c>
      <c r="L399" s="13" t="s">
        <v>1443</v>
      </c>
      <c r="M399" s="13"/>
    </row>
    <row r="400" customFormat="false" ht="15" hidden="false" customHeight="false" outlineLevel="0" collapsed="false">
      <c r="A400" s="13" t="s">
        <v>595</v>
      </c>
      <c r="B400" s="13" t="s">
        <v>594</v>
      </c>
      <c r="C400" s="13" t="s">
        <v>1448</v>
      </c>
      <c r="D400" s="13" t="s">
        <v>59</v>
      </c>
      <c r="E400" s="13" t="s">
        <v>795</v>
      </c>
      <c r="F400" s="13" t="s">
        <v>418</v>
      </c>
      <c r="G400" s="61" t="n">
        <v>1812417290</v>
      </c>
      <c r="H400" s="13" t="s">
        <v>1435</v>
      </c>
      <c r="I400" s="13"/>
      <c r="J400" s="13" t="s">
        <v>1463</v>
      </c>
      <c r="K400" s="13" t="s">
        <v>609</v>
      </c>
      <c r="L400" s="13" t="s">
        <v>1443</v>
      </c>
      <c r="M400" s="13"/>
    </row>
    <row r="401" customFormat="false" ht="15" hidden="false" customHeight="false" outlineLevel="0" collapsed="false">
      <c r="A401" s="13" t="s">
        <v>595</v>
      </c>
      <c r="B401" s="13" t="s">
        <v>594</v>
      </c>
      <c r="C401" s="13" t="s">
        <v>1434</v>
      </c>
      <c r="D401" s="13" t="s">
        <v>59</v>
      </c>
      <c r="E401" s="13" t="s">
        <v>797</v>
      </c>
      <c r="F401" s="13" t="s">
        <v>421</v>
      </c>
      <c r="G401" s="61" t="n">
        <v>3290757439256</v>
      </c>
      <c r="H401" s="13" t="s">
        <v>1435</v>
      </c>
      <c r="I401" s="13"/>
      <c r="J401" s="13"/>
      <c r="K401" s="13" t="s">
        <v>1437</v>
      </c>
      <c r="L401" s="13" t="s">
        <v>1438</v>
      </c>
      <c r="M401" s="13" t="s">
        <v>1450</v>
      </c>
    </row>
    <row r="402" customFormat="false" ht="15" hidden="false" customHeight="false" outlineLevel="0" collapsed="false">
      <c r="A402" s="13" t="s">
        <v>595</v>
      </c>
      <c r="B402" s="13" t="s">
        <v>594</v>
      </c>
      <c r="C402" s="13" t="s">
        <v>1439</v>
      </c>
      <c r="D402" s="13" t="s">
        <v>59</v>
      </c>
      <c r="E402" s="13" t="s">
        <v>797</v>
      </c>
      <c r="F402" s="13" t="s">
        <v>421</v>
      </c>
      <c r="G402" s="61" t="n">
        <v>3298267843837</v>
      </c>
      <c r="H402" s="13" t="s">
        <v>1435</v>
      </c>
      <c r="I402" s="13"/>
      <c r="J402" s="13"/>
      <c r="K402" s="13" t="s">
        <v>1441</v>
      </c>
      <c r="L402" s="13" t="s">
        <v>1438</v>
      </c>
      <c r="M402" s="13" t="s">
        <v>1450</v>
      </c>
    </row>
    <row r="403" customFormat="false" ht="15" hidden="false" customHeight="false" outlineLevel="0" collapsed="false">
      <c r="A403" s="13" t="s">
        <v>595</v>
      </c>
      <c r="B403" s="13" t="s">
        <v>594</v>
      </c>
      <c r="C403" s="13" t="s">
        <v>1442</v>
      </c>
      <c r="D403" s="13" t="s">
        <v>59</v>
      </c>
      <c r="E403" s="13" t="s">
        <v>797</v>
      </c>
      <c r="F403" s="13" t="s">
        <v>421</v>
      </c>
      <c r="G403" s="61" t="n">
        <v>3206891802522</v>
      </c>
      <c r="H403" s="13" t="s">
        <v>1435</v>
      </c>
      <c r="I403" s="13"/>
      <c r="J403" s="13"/>
      <c r="K403" s="13" t="s">
        <v>606</v>
      </c>
      <c r="L403" s="13" t="s">
        <v>1443</v>
      </c>
      <c r="M403" s="13" t="s">
        <v>1450</v>
      </c>
    </row>
    <row r="404" customFormat="false" ht="15" hidden="false" customHeight="false" outlineLevel="0" collapsed="false">
      <c r="A404" s="13" t="s">
        <v>595</v>
      </c>
      <c r="B404" s="13" t="s">
        <v>594</v>
      </c>
      <c r="C404" s="13" t="s">
        <v>1444</v>
      </c>
      <c r="D404" s="13" t="s">
        <v>59</v>
      </c>
      <c r="E404" s="13" t="s">
        <v>797</v>
      </c>
      <c r="F404" s="13" t="s">
        <v>421</v>
      </c>
      <c r="G404" s="61" t="n">
        <v>3097724008001</v>
      </c>
      <c r="H404" s="13" t="s">
        <v>1435</v>
      </c>
      <c r="I404" s="13"/>
      <c r="J404" s="13"/>
      <c r="K404" s="13" t="s">
        <v>607</v>
      </c>
      <c r="L404" s="13" t="s">
        <v>1443</v>
      </c>
      <c r="M404" s="13" t="s">
        <v>1450</v>
      </c>
    </row>
    <row r="405" customFormat="false" ht="15" hidden="false" customHeight="false" outlineLevel="0" collapsed="false">
      <c r="A405" s="13" t="s">
        <v>595</v>
      </c>
      <c r="B405" s="13" t="s">
        <v>594</v>
      </c>
      <c r="C405" s="13" t="s">
        <v>1446</v>
      </c>
      <c r="D405" s="13" t="s">
        <v>59</v>
      </c>
      <c r="E405" s="13" t="s">
        <v>797</v>
      </c>
      <c r="F405" s="13" t="s">
        <v>421</v>
      </c>
      <c r="G405" s="61" t="n">
        <v>3018386836728</v>
      </c>
      <c r="H405" s="13" t="s">
        <v>1435</v>
      </c>
      <c r="I405" s="13"/>
      <c r="J405" s="13"/>
      <c r="K405" s="13" t="s">
        <v>608</v>
      </c>
      <c r="L405" s="13" t="s">
        <v>1443</v>
      </c>
      <c r="M405" s="13" t="s">
        <v>1450</v>
      </c>
    </row>
    <row r="406" customFormat="false" ht="15" hidden="false" customHeight="false" outlineLevel="0" collapsed="false">
      <c r="A406" s="13" t="s">
        <v>595</v>
      </c>
      <c r="B406" s="13" t="s">
        <v>594</v>
      </c>
      <c r="C406" s="13" t="s">
        <v>1448</v>
      </c>
      <c r="D406" s="13" t="s">
        <v>59</v>
      </c>
      <c r="E406" s="13" t="s">
        <v>797</v>
      </c>
      <c r="F406" s="13" t="s">
        <v>421</v>
      </c>
      <c r="G406" s="61" t="n">
        <v>3023855511108</v>
      </c>
      <c r="H406" s="13" t="s">
        <v>1435</v>
      </c>
      <c r="I406" s="13"/>
      <c r="J406" s="13"/>
      <c r="K406" s="13" t="s">
        <v>609</v>
      </c>
      <c r="L406" s="13" t="s">
        <v>1443</v>
      </c>
      <c r="M406" s="13" t="s">
        <v>1450</v>
      </c>
    </row>
    <row r="407" customFormat="false" ht="15" hidden="false" customHeight="false" outlineLevel="0" collapsed="false">
      <c r="A407" s="13" t="s">
        <v>595</v>
      </c>
      <c r="B407" s="13" t="s">
        <v>594</v>
      </c>
      <c r="C407" s="13" t="s">
        <v>1434</v>
      </c>
      <c r="D407" s="13" t="s">
        <v>59</v>
      </c>
      <c r="E407" s="13" t="s">
        <v>798</v>
      </c>
      <c r="F407" s="13" t="s">
        <v>423</v>
      </c>
      <c r="G407" s="61" t="n">
        <v>3445671264153</v>
      </c>
      <c r="H407" s="13" t="s">
        <v>1435</v>
      </c>
      <c r="I407" s="13"/>
      <c r="J407" s="13"/>
      <c r="K407" s="13" t="s">
        <v>1437</v>
      </c>
      <c r="L407" s="13" t="s">
        <v>1438</v>
      </c>
      <c r="M407" s="13" t="s">
        <v>1450</v>
      </c>
    </row>
    <row r="408" customFormat="false" ht="15" hidden="false" customHeight="false" outlineLevel="0" collapsed="false">
      <c r="A408" s="13" t="s">
        <v>595</v>
      </c>
      <c r="B408" s="13" t="s">
        <v>594</v>
      </c>
      <c r="C408" s="13" t="s">
        <v>1439</v>
      </c>
      <c r="D408" s="13" t="s">
        <v>59</v>
      </c>
      <c r="E408" s="13" t="s">
        <v>798</v>
      </c>
      <c r="F408" s="13" t="s">
        <v>423</v>
      </c>
      <c r="G408" s="61" t="n">
        <v>4211211802258</v>
      </c>
      <c r="H408" s="13" t="s">
        <v>1435</v>
      </c>
      <c r="I408" s="13"/>
      <c r="J408" s="13"/>
      <c r="K408" s="13" t="s">
        <v>1441</v>
      </c>
      <c r="L408" s="13" t="s">
        <v>1438</v>
      </c>
      <c r="M408" s="13" t="s">
        <v>1450</v>
      </c>
    </row>
    <row r="409" customFormat="false" ht="15" hidden="false" customHeight="false" outlineLevel="0" collapsed="false">
      <c r="A409" s="13" t="s">
        <v>595</v>
      </c>
      <c r="B409" s="13" t="s">
        <v>594</v>
      </c>
      <c r="C409" s="13" t="s">
        <v>1442</v>
      </c>
      <c r="D409" s="13" t="s">
        <v>59</v>
      </c>
      <c r="E409" s="13" t="s">
        <v>798</v>
      </c>
      <c r="F409" s="13" t="s">
        <v>423</v>
      </c>
      <c r="G409" s="61" t="n">
        <v>4234621132412</v>
      </c>
      <c r="H409" s="13" t="s">
        <v>1435</v>
      </c>
      <c r="I409" s="13"/>
      <c r="J409" s="13"/>
      <c r="K409" s="13" t="s">
        <v>606</v>
      </c>
      <c r="L409" s="13" t="s">
        <v>1443</v>
      </c>
      <c r="M409" s="13" t="s">
        <v>1450</v>
      </c>
    </row>
    <row r="410" customFormat="false" ht="15" hidden="false" customHeight="false" outlineLevel="0" collapsed="false">
      <c r="A410" s="13" t="s">
        <v>595</v>
      </c>
      <c r="B410" s="13" t="s">
        <v>594</v>
      </c>
      <c r="C410" s="13" t="s">
        <v>1444</v>
      </c>
      <c r="D410" s="13" t="s">
        <v>59</v>
      </c>
      <c r="E410" s="13" t="s">
        <v>798</v>
      </c>
      <c r="F410" s="13" t="s">
        <v>423</v>
      </c>
      <c r="G410" s="61" t="n">
        <v>4137006257713</v>
      </c>
      <c r="H410" s="13" t="s">
        <v>1435</v>
      </c>
      <c r="I410" s="13"/>
      <c r="J410" s="13"/>
      <c r="K410" s="13" t="s">
        <v>607</v>
      </c>
      <c r="L410" s="13" t="s">
        <v>1443</v>
      </c>
      <c r="M410" s="13" t="s">
        <v>1450</v>
      </c>
    </row>
    <row r="411" customFormat="false" ht="15" hidden="false" customHeight="false" outlineLevel="0" collapsed="false">
      <c r="A411" s="13" t="s">
        <v>595</v>
      </c>
      <c r="B411" s="13" t="s">
        <v>594</v>
      </c>
      <c r="C411" s="13" t="s">
        <v>1446</v>
      </c>
      <c r="D411" s="13" t="s">
        <v>59</v>
      </c>
      <c r="E411" s="13" t="s">
        <v>798</v>
      </c>
      <c r="F411" s="13" t="s">
        <v>423</v>
      </c>
      <c r="G411" s="61" t="n">
        <v>4021105412384</v>
      </c>
      <c r="H411" s="13" t="s">
        <v>1435</v>
      </c>
      <c r="I411" s="13"/>
      <c r="J411" s="13"/>
      <c r="K411" s="13" t="s">
        <v>608</v>
      </c>
      <c r="L411" s="13" t="s">
        <v>1443</v>
      </c>
      <c r="M411" s="13" t="s">
        <v>1450</v>
      </c>
    </row>
    <row r="412" customFormat="false" ht="15" hidden="false" customHeight="false" outlineLevel="0" collapsed="false">
      <c r="A412" s="13" t="s">
        <v>595</v>
      </c>
      <c r="B412" s="13" t="s">
        <v>594</v>
      </c>
      <c r="C412" s="13" t="s">
        <v>1448</v>
      </c>
      <c r="D412" s="13" t="s">
        <v>59</v>
      </c>
      <c r="E412" s="13" t="s">
        <v>798</v>
      </c>
      <c r="F412" s="13" t="s">
        <v>423</v>
      </c>
      <c r="G412" s="61" t="n">
        <v>4175928930765</v>
      </c>
      <c r="H412" s="13" t="s">
        <v>1435</v>
      </c>
      <c r="I412" s="13"/>
      <c r="J412" s="13"/>
      <c r="K412" s="13" t="s">
        <v>609</v>
      </c>
      <c r="L412" s="13" t="s">
        <v>1443</v>
      </c>
      <c r="M412" s="13" t="s">
        <v>1450</v>
      </c>
    </row>
    <row r="413" customFormat="false" ht="15" hidden="false" customHeight="false" outlineLevel="0" collapsed="false">
      <c r="A413" s="13" t="s">
        <v>595</v>
      </c>
      <c r="B413" s="13" t="s">
        <v>594</v>
      </c>
      <c r="C413" s="13" t="s">
        <v>1434</v>
      </c>
      <c r="D413" s="13" t="s">
        <v>59</v>
      </c>
      <c r="E413" s="13" t="s">
        <v>800</v>
      </c>
      <c r="F413" s="13" t="s">
        <v>801</v>
      </c>
      <c r="G413" s="61" t="n">
        <v>781853202675</v>
      </c>
      <c r="H413" s="13" t="s">
        <v>1435</v>
      </c>
      <c r="I413" s="13"/>
      <c r="J413" s="13" t="s">
        <v>1451</v>
      </c>
      <c r="K413" s="13" t="s">
        <v>1437</v>
      </c>
      <c r="L413" s="13" t="s">
        <v>1438</v>
      </c>
      <c r="M413" s="13"/>
    </row>
    <row r="414" customFormat="false" ht="15" hidden="false" customHeight="false" outlineLevel="0" collapsed="false">
      <c r="A414" s="13" t="s">
        <v>595</v>
      </c>
      <c r="B414" s="13" t="s">
        <v>594</v>
      </c>
      <c r="C414" s="13" t="s">
        <v>1439</v>
      </c>
      <c r="D414" s="13" t="s">
        <v>59</v>
      </c>
      <c r="E414" s="13" t="s">
        <v>800</v>
      </c>
      <c r="F414" s="13" t="s">
        <v>801</v>
      </c>
      <c r="G414" s="61" t="n">
        <v>1254261046809</v>
      </c>
      <c r="H414" s="13" t="s">
        <v>1435</v>
      </c>
      <c r="I414" s="13"/>
      <c r="J414" s="13" t="s">
        <v>1452</v>
      </c>
      <c r="K414" s="13" t="s">
        <v>1441</v>
      </c>
      <c r="L414" s="13" t="s">
        <v>1438</v>
      </c>
      <c r="M414" s="13"/>
    </row>
    <row r="415" customFormat="false" ht="15" hidden="false" customHeight="false" outlineLevel="0" collapsed="false">
      <c r="A415" s="13" t="s">
        <v>595</v>
      </c>
      <c r="B415" s="13" t="s">
        <v>594</v>
      </c>
      <c r="C415" s="13" t="s">
        <v>1442</v>
      </c>
      <c r="D415" s="13" t="s">
        <v>59</v>
      </c>
      <c r="E415" s="13" t="s">
        <v>800</v>
      </c>
      <c r="F415" s="13" t="s">
        <v>801</v>
      </c>
      <c r="G415" s="61" t="n">
        <v>881622483502</v>
      </c>
      <c r="H415" s="13" t="s">
        <v>1435</v>
      </c>
      <c r="I415" s="13"/>
      <c r="J415" s="13" t="s">
        <v>1452</v>
      </c>
      <c r="K415" s="13" t="s">
        <v>606</v>
      </c>
      <c r="L415" s="13" t="s">
        <v>1443</v>
      </c>
      <c r="M415" s="13"/>
    </row>
    <row r="416" customFormat="false" ht="15" hidden="false" customHeight="false" outlineLevel="0" collapsed="false">
      <c r="A416" s="13" t="s">
        <v>595</v>
      </c>
      <c r="B416" s="13" t="s">
        <v>594</v>
      </c>
      <c r="C416" s="13" t="s">
        <v>1444</v>
      </c>
      <c r="D416" s="13" t="s">
        <v>59</v>
      </c>
      <c r="E416" s="13" t="s">
        <v>800</v>
      </c>
      <c r="F416" s="13" t="s">
        <v>801</v>
      </c>
      <c r="G416" s="61" t="n">
        <v>794519472582</v>
      </c>
      <c r="H416" s="13" t="s">
        <v>1435</v>
      </c>
      <c r="I416" s="13"/>
      <c r="J416" s="13" t="s">
        <v>1453</v>
      </c>
      <c r="K416" s="13" t="s">
        <v>607</v>
      </c>
      <c r="L416" s="13" t="s">
        <v>1443</v>
      </c>
      <c r="M416" s="13"/>
    </row>
    <row r="417" customFormat="false" ht="15" hidden="false" customHeight="false" outlineLevel="0" collapsed="false">
      <c r="A417" s="13" t="s">
        <v>595</v>
      </c>
      <c r="B417" s="13" t="s">
        <v>594</v>
      </c>
      <c r="C417" s="13" t="s">
        <v>1446</v>
      </c>
      <c r="D417" s="13" t="s">
        <v>59</v>
      </c>
      <c r="E417" s="13" t="s">
        <v>800</v>
      </c>
      <c r="F417" s="13" t="s">
        <v>801</v>
      </c>
      <c r="G417" s="61" t="n">
        <v>543316240373</v>
      </c>
      <c r="H417" s="13" t="s">
        <v>1435</v>
      </c>
      <c r="I417" s="13"/>
      <c r="J417" s="13" t="s">
        <v>1454</v>
      </c>
      <c r="K417" s="13" t="s">
        <v>608</v>
      </c>
      <c r="L417" s="13" t="s">
        <v>1443</v>
      </c>
      <c r="M417" s="13"/>
    </row>
    <row r="418" customFormat="false" ht="15" hidden="false" customHeight="false" outlineLevel="0" collapsed="false">
      <c r="A418" s="13" t="s">
        <v>595</v>
      </c>
      <c r="B418" s="13" t="s">
        <v>594</v>
      </c>
      <c r="C418" s="13" t="s">
        <v>1448</v>
      </c>
      <c r="D418" s="13" t="s">
        <v>59</v>
      </c>
      <c r="E418" s="13" t="s">
        <v>800</v>
      </c>
      <c r="F418" s="13" t="s">
        <v>801</v>
      </c>
      <c r="G418" s="61" t="n">
        <v>513916984019</v>
      </c>
      <c r="H418" s="13" t="s">
        <v>1435</v>
      </c>
      <c r="I418" s="13"/>
      <c r="J418" s="13" t="s">
        <v>1455</v>
      </c>
      <c r="K418" s="13" t="s">
        <v>609</v>
      </c>
      <c r="L418" s="13" t="s">
        <v>1443</v>
      </c>
      <c r="M418" s="13"/>
    </row>
    <row r="419" customFormat="false" ht="15" hidden="false" customHeight="false" outlineLevel="0" collapsed="false">
      <c r="A419" s="13" t="s">
        <v>595</v>
      </c>
      <c r="B419" s="13" t="s">
        <v>594</v>
      </c>
      <c r="C419" s="13" t="s">
        <v>1434</v>
      </c>
      <c r="D419" s="13" t="s">
        <v>59</v>
      </c>
      <c r="E419" s="13" t="s">
        <v>803</v>
      </c>
      <c r="F419" s="13" t="s">
        <v>804</v>
      </c>
      <c r="G419" s="61" t="n">
        <v>2663818061478</v>
      </c>
      <c r="H419" s="13" t="s">
        <v>1435</v>
      </c>
      <c r="I419" s="13"/>
      <c r="J419" s="13" t="s">
        <v>1451</v>
      </c>
      <c r="K419" s="13" t="s">
        <v>1437</v>
      </c>
      <c r="L419" s="13" t="s">
        <v>1438</v>
      </c>
      <c r="M419" s="13"/>
    </row>
    <row r="420" customFormat="false" ht="15" hidden="false" customHeight="false" outlineLevel="0" collapsed="false">
      <c r="A420" s="13" t="s">
        <v>595</v>
      </c>
      <c r="B420" s="13" t="s">
        <v>594</v>
      </c>
      <c r="C420" s="13" t="s">
        <v>1439</v>
      </c>
      <c r="D420" s="13" t="s">
        <v>59</v>
      </c>
      <c r="E420" s="13" t="s">
        <v>803</v>
      </c>
      <c r="F420" s="13" t="s">
        <v>804</v>
      </c>
      <c r="G420" s="61" t="n">
        <v>2956950755449</v>
      </c>
      <c r="H420" s="13" t="s">
        <v>1435</v>
      </c>
      <c r="I420" s="13"/>
      <c r="J420" s="13" t="s">
        <v>1452</v>
      </c>
      <c r="K420" s="13" t="s">
        <v>1441</v>
      </c>
      <c r="L420" s="13" t="s">
        <v>1438</v>
      </c>
      <c r="M420" s="13"/>
    </row>
    <row r="421" customFormat="false" ht="15" hidden="false" customHeight="false" outlineLevel="0" collapsed="false">
      <c r="A421" s="13" t="s">
        <v>595</v>
      </c>
      <c r="B421" s="13" t="s">
        <v>594</v>
      </c>
      <c r="C421" s="13" t="s">
        <v>1442</v>
      </c>
      <c r="D421" s="13" t="s">
        <v>59</v>
      </c>
      <c r="E421" s="13" t="s">
        <v>803</v>
      </c>
      <c r="F421" s="13" t="s">
        <v>804</v>
      </c>
      <c r="G421" s="61" t="n">
        <v>3352998648910</v>
      </c>
      <c r="H421" s="13" t="s">
        <v>1435</v>
      </c>
      <c r="I421" s="13"/>
      <c r="J421" s="13" t="s">
        <v>1452</v>
      </c>
      <c r="K421" s="13" t="s">
        <v>606</v>
      </c>
      <c r="L421" s="13" t="s">
        <v>1443</v>
      </c>
      <c r="M421" s="13"/>
    </row>
    <row r="422" customFormat="false" ht="15" hidden="false" customHeight="false" outlineLevel="0" collapsed="false">
      <c r="A422" s="13" t="s">
        <v>595</v>
      </c>
      <c r="B422" s="13" t="s">
        <v>594</v>
      </c>
      <c r="C422" s="13" t="s">
        <v>1444</v>
      </c>
      <c r="D422" s="13" t="s">
        <v>59</v>
      </c>
      <c r="E422" s="13" t="s">
        <v>803</v>
      </c>
      <c r="F422" s="13" t="s">
        <v>804</v>
      </c>
      <c r="G422" s="61" t="n">
        <v>3342486785131</v>
      </c>
      <c r="H422" s="13" t="s">
        <v>1435</v>
      </c>
      <c r="I422" s="13"/>
      <c r="J422" s="13" t="s">
        <v>1453</v>
      </c>
      <c r="K422" s="13" t="s">
        <v>607</v>
      </c>
      <c r="L422" s="13" t="s">
        <v>1443</v>
      </c>
      <c r="M422" s="13"/>
    </row>
    <row r="423" customFormat="false" ht="15" hidden="false" customHeight="false" outlineLevel="0" collapsed="false">
      <c r="A423" s="13" t="s">
        <v>595</v>
      </c>
      <c r="B423" s="13" t="s">
        <v>594</v>
      </c>
      <c r="C423" s="13" t="s">
        <v>1446</v>
      </c>
      <c r="D423" s="13" t="s">
        <v>59</v>
      </c>
      <c r="E423" s="13" t="s">
        <v>803</v>
      </c>
      <c r="F423" s="13" t="s">
        <v>804</v>
      </c>
      <c r="G423" s="61" t="n">
        <v>3477789172011</v>
      </c>
      <c r="H423" s="13" t="s">
        <v>1435</v>
      </c>
      <c r="I423" s="13"/>
      <c r="J423" s="13" t="s">
        <v>1454</v>
      </c>
      <c r="K423" s="13" t="s">
        <v>608</v>
      </c>
      <c r="L423" s="13" t="s">
        <v>1443</v>
      </c>
      <c r="M423" s="13"/>
    </row>
    <row r="424" customFormat="false" ht="15" hidden="false" customHeight="false" outlineLevel="0" collapsed="false">
      <c r="A424" s="13" t="s">
        <v>595</v>
      </c>
      <c r="B424" s="13" t="s">
        <v>594</v>
      </c>
      <c r="C424" s="13" t="s">
        <v>1448</v>
      </c>
      <c r="D424" s="13" t="s">
        <v>59</v>
      </c>
      <c r="E424" s="13" t="s">
        <v>803</v>
      </c>
      <c r="F424" s="13" t="s">
        <v>804</v>
      </c>
      <c r="G424" s="61" t="n">
        <v>3662011946746</v>
      </c>
      <c r="H424" s="13" t="s">
        <v>1435</v>
      </c>
      <c r="I424" s="13"/>
      <c r="J424" s="13" t="s">
        <v>1455</v>
      </c>
      <c r="K424" s="13" t="s">
        <v>609</v>
      </c>
      <c r="L424" s="13" t="s">
        <v>1443</v>
      </c>
      <c r="M424" s="13"/>
    </row>
    <row r="425" customFormat="false" ht="15" hidden="false" customHeight="false" outlineLevel="0" collapsed="false">
      <c r="A425" s="13" t="s">
        <v>595</v>
      </c>
      <c r="B425" s="13" t="s">
        <v>594</v>
      </c>
      <c r="C425" s="13" t="s">
        <v>1434</v>
      </c>
      <c r="D425" s="13" t="s">
        <v>59</v>
      </c>
      <c r="E425" s="13" t="s">
        <v>806</v>
      </c>
      <c r="F425" s="13" t="s">
        <v>807</v>
      </c>
      <c r="G425" s="61" t="n">
        <v>3445671264153</v>
      </c>
      <c r="H425" s="13" t="s">
        <v>1435</v>
      </c>
      <c r="I425" s="13"/>
      <c r="J425" s="13" t="s">
        <v>1451</v>
      </c>
      <c r="K425" s="13" t="s">
        <v>1437</v>
      </c>
      <c r="L425" s="13" t="s">
        <v>1438</v>
      </c>
      <c r="M425" s="13"/>
    </row>
    <row r="426" customFormat="false" ht="15" hidden="false" customHeight="false" outlineLevel="0" collapsed="false">
      <c r="A426" s="13" t="s">
        <v>595</v>
      </c>
      <c r="B426" s="13" t="s">
        <v>594</v>
      </c>
      <c r="C426" s="13" t="s">
        <v>1439</v>
      </c>
      <c r="D426" s="13" t="s">
        <v>59</v>
      </c>
      <c r="E426" s="13" t="s">
        <v>806</v>
      </c>
      <c r="F426" s="13" t="s">
        <v>807</v>
      </c>
      <c r="G426" s="61" t="n">
        <v>4211211802258</v>
      </c>
      <c r="H426" s="13" t="s">
        <v>1435</v>
      </c>
      <c r="I426" s="13"/>
      <c r="J426" s="13" t="s">
        <v>1452</v>
      </c>
      <c r="K426" s="13" t="s">
        <v>1441</v>
      </c>
      <c r="L426" s="13" t="s">
        <v>1438</v>
      </c>
      <c r="M426" s="13"/>
    </row>
    <row r="427" customFormat="false" ht="15" hidden="false" customHeight="false" outlineLevel="0" collapsed="false">
      <c r="A427" s="13" t="s">
        <v>595</v>
      </c>
      <c r="B427" s="13" t="s">
        <v>594</v>
      </c>
      <c r="C427" s="13" t="s">
        <v>1442</v>
      </c>
      <c r="D427" s="13" t="s">
        <v>59</v>
      </c>
      <c r="E427" s="13" t="s">
        <v>806</v>
      </c>
      <c r="F427" s="13" t="s">
        <v>807</v>
      </c>
      <c r="G427" s="61" t="n">
        <v>4234621132412</v>
      </c>
      <c r="H427" s="13" t="s">
        <v>1435</v>
      </c>
      <c r="I427" s="13"/>
      <c r="J427" s="13" t="s">
        <v>1452</v>
      </c>
      <c r="K427" s="13" t="s">
        <v>606</v>
      </c>
      <c r="L427" s="13" t="s">
        <v>1443</v>
      </c>
      <c r="M427" s="13"/>
    </row>
    <row r="428" customFormat="false" ht="15" hidden="false" customHeight="false" outlineLevel="0" collapsed="false">
      <c r="A428" s="13" t="s">
        <v>595</v>
      </c>
      <c r="B428" s="13" t="s">
        <v>594</v>
      </c>
      <c r="C428" s="13" t="s">
        <v>1444</v>
      </c>
      <c r="D428" s="13" t="s">
        <v>59</v>
      </c>
      <c r="E428" s="13" t="s">
        <v>806</v>
      </c>
      <c r="F428" s="13" t="s">
        <v>807</v>
      </c>
      <c r="G428" s="61" t="n">
        <v>4137006257713</v>
      </c>
      <c r="H428" s="13" t="s">
        <v>1435</v>
      </c>
      <c r="I428" s="13"/>
      <c r="J428" s="13" t="s">
        <v>1453</v>
      </c>
      <c r="K428" s="13" t="s">
        <v>607</v>
      </c>
      <c r="L428" s="13" t="s">
        <v>1443</v>
      </c>
      <c r="M428" s="13"/>
    </row>
    <row r="429" customFormat="false" ht="15" hidden="false" customHeight="false" outlineLevel="0" collapsed="false">
      <c r="A429" s="13" t="s">
        <v>595</v>
      </c>
      <c r="B429" s="13" t="s">
        <v>594</v>
      </c>
      <c r="C429" s="13" t="s">
        <v>1446</v>
      </c>
      <c r="D429" s="13" t="s">
        <v>59</v>
      </c>
      <c r="E429" s="13" t="s">
        <v>806</v>
      </c>
      <c r="F429" s="13" t="s">
        <v>807</v>
      </c>
      <c r="G429" s="61" t="n">
        <v>4021105412384</v>
      </c>
      <c r="H429" s="13" t="s">
        <v>1435</v>
      </c>
      <c r="I429" s="13"/>
      <c r="J429" s="13" t="s">
        <v>1454</v>
      </c>
      <c r="K429" s="13" t="s">
        <v>608</v>
      </c>
      <c r="L429" s="13" t="s">
        <v>1443</v>
      </c>
      <c r="M429" s="13"/>
    </row>
    <row r="430" customFormat="false" ht="15" hidden="false" customHeight="false" outlineLevel="0" collapsed="false">
      <c r="A430" s="13" t="s">
        <v>595</v>
      </c>
      <c r="B430" s="13" t="s">
        <v>594</v>
      </c>
      <c r="C430" s="13" t="s">
        <v>1448</v>
      </c>
      <c r="D430" s="13" t="s">
        <v>59</v>
      </c>
      <c r="E430" s="13" t="s">
        <v>806</v>
      </c>
      <c r="F430" s="13" t="s">
        <v>807</v>
      </c>
      <c r="G430" s="61" t="n">
        <v>4175928930765</v>
      </c>
      <c r="H430" s="13" t="s">
        <v>1435</v>
      </c>
      <c r="I430" s="13"/>
      <c r="J430" s="13" t="s">
        <v>1455</v>
      </c>
      <c r="K430" s="13" t="s">
        <v>609</v>
      </c>
      <c r="L430" s="13" t="s">
        <v>1443</v>
      </c>
      <c r="M430" s="13"/>
    </row>
    <row r="431" customFormat="false" ht="15" hidden="false" customHeight="false" outlineLevel="0" collapsed="false">
      <c r="A431" s="13" t="s">
        <v>595</v>
      </c>
      <c r="B431" s="13" t="s">
        <v>594</v>
      </c>
      <c r="C431" s="13" t="s">
        <v>1434</v>
      </c>
      <c r="D431" s="13" t="s">
        <v>59</v>
      </c>
      <c r="E431" s="13" t="s">
        <v>809</v>
      </c>
      <c r="F431" s="13" t="s">
        <v>810</v>
      </c>
      <c r="G431" s="61" t="n">
        <v>48429071388</v>
      </c>
      <c r="H431" s="13" t="s">
        <v>1435</v>
      </c>
      <c r="I431" s="13"/>
      <c r="J431" s="13" t="s">
        <v>1451</v>
      </c>
      <c r="K431" s="13" t="s">
        <v>1437</v>
      </c>
      <c r="L431" s="13" t="s">
        <v>1438</v>
      </c>
      <c r="M431" s="13"/>
    </row>
    <row r="432" customFormat="false" ht="15" hidden="false" customHeight="false" outlineLevel="0" collapsed="false">
      <c r="A432" s="13" t="s">
        <v>595</v>
      </c>
      <c r="B432" s="13" t="s">
        <v>594</v>
      </c>
      <c r="C432" s="13" t="s">
        <v>1439</v>
      </c>
      <c r="D432" s="13" t="s">
        <v>59</v>
      </c>
      <c r="E432" s="13" t="s">
        <v>809</v>
      </c>
      <c r="F432" s="13" t="s">
        <v>810</v>
      </c>
      <c r="G432" s="61" t="n">
        <v>77659223975</v>
      </c>
      <c r="H432" s="13" t="s">
        <v>1435</v>
      </c>
      <c r="I432" s="13"/>
      <c r="J432" s="13" t="s">
        <v>1456</v>
      </c>
      <c r="K432" s="13" t="s">
        <v>1441</v>
      </c>
      <c r="L432" s="13" t="s">
        <v>1438</v>
      </c>
      <c r="M432" s="13"/>
    </row>
    <row r="433" customFormat="false" ht="15" hidden="false" customHeight="false" outlineLevel="0" collapsed="false">
      <c r="A433" s="13" t="s">
        <v>595</v>
      </c>
      <c r="B433" s="13" t="s">
        <v>594</v>
      </c>
      <c r="C433" s="13" t="s">
        <v>1442</v>
      </c>
      <c r="D433" s="13" t="s">
        <v>59</v>
      </c>
      <c r="E433" s="13" t="s">
        <v>809</v>
      </c>
      <c r="F433" s="13" t="s">
        <v>810</v>
      </c>
      <c r="G433" s="61" t="n">
        <v>213002320748</v>
      </c>
      <c r="H433" s="13" t="s">
        <v>1435</v>
      </c>
      <c r="I433" s="13"/>
      <c r="J433" s="13" t="s">
        <v>1456</v>
      </c>
      <c r="K433" s="13" t="s">
        <v>606</v>
      </c>
      <c r="L433" s="13" t="s">
        <v>1443</v>
      </c>
      <c r="M433" s="13"/>
    </row>
    <row r="434" customFormat="false" ht="15" hidden="false" customHeight="false" outlineLevel="0" collapsed="false">
      <c r="A434" s="13" t="s">
        <v>595</v>
      </c>
      <c r="B434" s="13" t="s">
        <v>594</v>
      </c>
      <c r="C434" s="13" t="s">
        <v>1444</v>
      </c>
      <c r="D434" s="13" t="s">
        <v>59</v>
      </c>
      <c r="E434" s="13" t="s">
        <v>809</v>
      </c>
      <c r="F434" s="13" t="s">
        <v>810</v>
      </c>
      <c r="G434" s="61" t="n">
        <v>903647240409</v>
      </c>
      <c r="H434" s="13" t="s">
        <v>1435</v>
      </c>
      <c r="I434" s="13"/>
      <c r="J434" s="13" t="s">
        <v>1457</v>
      </c>
      <c r="K434" s="13" t="s">
        <v>607</v>
      </c>
      <c r="L434" s="13" t="s">
        <v>1443</v>
      </c>
      <c r="M434" s="13"/>
    </row>
    <row r="435" customFormat="false" ht="15" hidden="false" customHeight="false" outlineLevel="0" collapsed="false">
      <c r="A435" s="13" t="s">
        <v>595</v>
      </c>
      <c r="B435" s="13" t="s">
        <v>594</v>
      </c>
      <c r="C435" s="13" t="s">
        <v>1446</v>
      </c>
      <c r="D435" s="13" t="s">
        <v>59</v>
      </c>
      <c r="E435" s="13" t="s">
        <v>809</v>
      </c>
      <c r="F435" s="13" t="s">
        <v>810</v>
      </c>
      <c r="G435" s="61" t="n">
        <v>874056732450</v>
      </c>
      <c r="H435" s="13" t="s">
        <v>1435</v>
      </c>
      <c r="I435" s="13"/>
      <c r="J435" s="13" t="s">
        <v>1458</v>
      </c>
      <c r="K435" s="13" t="s">
        <v>608</v>
      </c>
      <c r="L435" s="13" t="s">
        <v>1443</v>
      </c>
      <c r="M435" s="13"/>
    </row>
    <row r="436" customFormat="false" ht="15" hidden="false" customHeight="false" outlineLevel="0" collapsed="false">
      <c r="A436" s="13" t="s">
        <v>595</v>
      </c>
      <c r="B436" s="13" t="s">
        <v>594</v>
      </c>
      <c r="C436" s="13" t="s">
        <v>1448</v>
      </c>
      <c r="D436" s="13" t="s">
        <v>59</v>
      </c>
      <c r="E436" s="13" t="s">
        <v>809</v>
      </c>
      <c r="F436" s="13" t="s">
        <v>810</v>
      </c>
      <c r="G436" s="61" t="n">
        <v>613921910936</v>
      </c>
      <c r="H436" s="13" t="s">
        <v>1435</v>
      </c>
      <c r="I436" s="13"/>
      <c r="J436" s="13" t="s">
        <v>1459</v>
      </c>
      <c r="K436" s="13" t="s">
        <v>609</v>
      </c>
      <c r="L436" s="13" t="s">
        <v>1443</v>
      </c>
      <c r="M436" s="13"/>
    </row>
    <row r="437" customFormat="false" ht="15" hidden="false" customHeight="false" outlineLevel="0" collapsed="false">
      <c r="A437" s="13" t="s">
        <v>595</v>
      </c>
      <c r="B437" s="13" t="s">
        <v>594</v>
      </c>
      <c r="C437" s="13" t="s">
        <v>1434</v>
      </c>
      <c r="D437" s="13" t="s">
        <v>59</v>
      </c>
      <c r="E437" s="13" t="s">
        <v>812</v>
      </c>
      <c r="F437" s="13" t="s">
        <v>813</v>
      </c>
      <c r="G437" s="61" t="n">
        <v>106484753509</v>
      </c>
      <c r="H437" s="13" t="s">
        <v>1435</v>
      </c>
      <c r="I437" s="13"/>
      <c r="J437" s="13" t="s">
        <v>1451</v>
      </c>
      <c r="K437" s="13" t="s">
        <v>1437</v>
      </c>
      <c r="L437" s="13" t="s">
        <v>1438</v>
      </c>
      <c r="M437" s="13"/>
    </row>
    <row r="438" customFormat="false" ht="15" hidden="false" customHeight="false" outlineLevel="0" collapsed="false">
      <c r="A438" s="13" t="s">
        <v>595</v>
      </c>
      <c r="B438" s="13" t="s">
        <v>594</v>
      </c>
      <c r="C438" s="13" t="s">
        <v>1439</v>
      </c>
      <c r="D438" s="13" t="s">
        <v>59</v>
      </c>
      <c r="E438" s="13" t="s">
        <v>812</v>
      </c>
      <c r="F438" s="13" t="s">
        <v>813</v>
      </c>
      <c r="G438" s="61" t="n">
        <v>835284734446</v>
      </c>
      <c r="H438" s="13" t="s">
        <v>1435</v>
      </c>
      <c r="I438" s="13"/>
      <c r="J438" s="13" t="s">
        <v>1456</v>
      </c>
      <c r="K438" s="13" t="s">
        <v>1441</v>
      </c>
      <c r="L438" s="13" t="s">
        <v>1438</v>
      </c>
      <c r="M438" s="13"/>
    </row>
    <row r="439" customFormat="false" ht="15" hidden="false" customHeight="false" outlineLevel="0" collapsed="false">
      <c r="A439" s="13" t="s">
        <v>595</v>
      </c>
      <c r="B439" s="13" t="s">
        <v>594</v>
      </c>
      <c r="C439" s="13" t="s">
        <v>1442</v>
      </c>
      <c r="D439" s="13" t="s">
        <v>59</v>
      </c>
      <c r="E439" s="13" t="s">
        <v>812</v>
      </c>
      <c r="F439" s="13" t="s">
        <v>813</v>
      </c>
      <c r="G439" s="61" t="n">
        <v>814727009142</v>
      </c>
      <c r="H439" s="13" t="s">
        <v>1435</v>
      </c>
      <c r="I439" s="13"/>
      <c r="J439" s="13" t="s">
        <v>1456</v>
      </c>
      <c r="K439" s="13" t="s">
        <v>606</v>
      </c>
      <c r="L439" s="13" t="s">
        <v>1443</v>
      </c>
      <c r="M439" s="13"/>
    </row>
    <row r="440" customFormat="false" ht="15" hidden="false" customHeight="false" outlineLevel="0" collapsed="false">
      <c r="A440" s="13" t="s">
        <v>595</v>
      </c>
      <c r="B440" s="13" t="s">
        <v>594</v>
      </c>
      <c r="C440" s="13" t="s">
        <v>1444</v>
      </c>
      <c r="D440" s="13" t="s">
        <v>59</v>
      </c>
      <c r="E440" s="13" t="s">
        <v>812</v>
      </c>
      <c r="F440" s="13" t="s">
        <v>813</v>
      </c>
      <c r="G440" s="61" t="n">
        <v>135635009303</v>
      </c>
      <c r="H440" s="13" t="s">
        <v>1435</v>
      </c>
      <c r="I440" s="13"/>
      <c r="J440" s="13" t="s">
        <v>1457</v>
      </c>
      <c r="K440" s="13" t="s">
        <v>607</v>
      </c>
      <c r="L440" s="13" t="s">
        <v>1443</v>
      </c>
      <c r="M440" s="13"/>
    </row>
    <row r="441" customFormat="false" ht="15" hidden="false" customHeight="false" outlineLevel="0" collapsed="false">
      <c r="A441" s="13" t="s">
        <v>595</v>
      </c>
      <c r="B441" s="13" t="s">
        <v>594</v>
      </c>
      <c r="C441" s="13" t="s">
        <v>1446</v>
      </c>
      <c r="D441" s="13" t="s">
        <v>59</v>
      </c>
      <c r="E441" s="13" t="s">
        <v>812</v>
      </c>
      <c r="F441" s="13" t="s">
        <v>813</v>
      </c>
      <c r="G441" s="61" t="n">
        <v>128661843206</v>
      </c>
      <c r="H441" s="13" t="s">
        <v>1435</v>
      </c>
      <c r="I441" s="13"/>
      <c r="J441" s="13" t="s">
        <v>1458</v>
      </c>
      <c r="K441" s="13" t="s">
        <v>608</v>
      </c>
      <c r="L441" s="13" t="s">
        <v>1443</v>
      </c>
      <c r="M441" s="13"/>
    </row>
    <row r="442" customFormat="false" ht="15" hidden="false" customHeight="false" outlineLevel="0" collapsed="false">
      <c r="A442" s="13" t="s">
        <v>595</v>
      </c>
      <c r="B442" s="13" t="s">
        <v>594</v>
      </c>
      <c r="C442" s="13" t="s">
        <v>1448</v>
      </c>
      <c r="D442" s="13" t="s">
        <v>59</v>
      </c>
      <c r="E442" s="13" t="s">
        <v>812</v>
      </c>
      <c r="F442" s="13" t="s">
        <v>813</v>
      </c>
      <c r="G442" s="61" t="n">
        <v>538151508721</v>
      </c>
      <c r="H442" s="13" t="s">
        <v>1435</v>
      </c>
      <c r="I442" s="13"/>
      <c r="J442" s="13" t="s">
        <v>1459</v>
      </c>
      <c r="K442" s="13" t="s">
        <v>609</v>
      </c>
      <c r="L442" s="13" t="s">
        <v>1443</v>
      </c>
      <c r="M442" s="13"/>
    </row>
    <row r="443" customFormat="false" ht="15" hidden="false" customHeight="false" outlineLevel="0" collapsed="false">
      <c r="A443" s="13" t="s">
        <v>595</v>
      </c>
      <c r="B443" s="13" t="s">
        <v>594</v>
      </c>
      <c r="C443" s="13" t="s">
        <v>1434</v>
      </c>
      <c r="D443" s="13" t="s">
        <v>59</v>
      </c>
      <c r="E443" s="13" t="s">
        <v>815</v>
      </c>
      <c r="F443" s="13" t="s">
        <v>816</v>
      </c>
      <c r="G443" s="61" t="n">
        <v>154913824897</v>
      </c>
      <c r="H443" s="13" t="s">
        <v>1435</v>
      </c>
      <c r="I443" s="13"/>
      <c r="J443" s="13" t="s">
        <v>1451</v>
      </c>
      <c r="K443" s="13" t="s">
        <v>1437</v>
      </c>
      <c r="L443" s="13" t="s">
        <v>1438</v>
      </c>
      <c r="M443" s="13"/>
    </row>
    <row r="444" customFormat="false" ht="15" hidden="false" customHeight="false" outlineLevel="0" collapsed="false">
      <c r="A444" s="13" t="s">
        <v>595</v>
      </c>
      <c r="B444" s="13" t="s">
        <v>594</v>
      </c>
      <c r="C444" s="13" t="s">
        <v>1439</v>
      </c>
      <c r="D444" s="13" t="s">
        <v>59</v>
      </c>
      <c r="E444" s="13" t="s">
        <v>815</v>
      </c>
      <c r="F444" s="13" t="s">
        <v>816</v>
      </c>
      <c r="G444" s="61" t="n">
        <v>912943958421</v>
      </c>
      <c r="H444" s="13" t="s">
        <v>1435</v>
      </c>
      <c r="I444" s="13"/>
      <c r="J444" s="13" t="s">
        <v>1456</v>
      </c>
      <c r="K444" s="13" t="s">
        <v>1441</v>
      </c>
      <c r="L444" s="13" t="s">
        <v>1438</v>
      </c>
      <c r="M444" s="13"/>
    </row>
    <row r="445" customFormat="false" ht="15" hidden="false" customHeight="false" outlineLevel="0" collapsed="false">
      <c r="A445" s="13" t="s">
        <v>595</v>
      </c>
      <c r="B445" s="13" t="s">
        <v>594</v>
      </c>
      <c r="C445" s="13" t="s">
        <v>1442</v>
      </c>
      <c r="D445" s="13" t="s">
        <v>59</v>
      </c>
      <c r="E445" s="13" t="s">
        <v>815</v>
      </c>
      <c r="F445" s="13" t="s">
        <v>816</v>
      </c>
      <c r="G445" s="61" t="n">
        <v>1027729329890</v>
      </c>
      <c r="H445" s="13" t="s">
        <v>1435</v>
      </c>
      <c r="I445" s="13"/>
      <c r="J445" s="13" t="s">
        <v>1456</v>
      </c>
      <c r="K445" s="13" t="s">
        <v>606</v>
      </c>
      <c r="L445" s="13" t="s">
        <v>1443</v>
      </c>
      <c r="M445" s="13"/>
    </row>
    <row r="446" customFormat="false" ht="15" hidden="false" customHeight="false" outlineLevel="0" collapsed="false">
      <c r="A446" s="13" t="s">
        <v>595</v>
      </c>
      <c r="B446" s="13" t="s">
        <v>594</v>
      </c>
      <c r="C446" s="13" t="s">
        <v>1444</v>
      </c>
      <c r="D446" s="13" t="s">
        <v>59</v>
      </c>
      <c r="E446" s="13" t="s">
        <v>815</v>
      </c>
      <c r="F446" s="13" t="s">
        <v>816</v>
      </c>
      <c r="G446" s="61" t="n">
        <v>1039282249712</v>
      </c>
      <c r="H446" s="13" t="s">
        <v>1435</v>
      </c>
      <c r="I446" s="13"/>
      <c r="J446" s="13" t="s">
        <v>1457</v>
      </c>
      <c r="K446" s="13" t="s">
        <v>607</v>
      </c>
      <c r="L446" s="13" t="s">
        <v>1443</v>
      </c>
      <c r="M446" s="13"/>
    </row>
    <row r="447" customFormat="false" ht="15" hidden="false" customHeight="false" outlineLevel="0" collapsed="false">
      <c r="A447" s="13" t="s">
        <v>595</v>
      </c>
      <c r="B447" s="13" t="s">
        <v>594</v>
      </c>
      <c r="C447" s="13" t="s">
        <v>1446</v>
      </c>
      <c r="D447" s="13" t="s">
        <v>59</v>
      </c>
      <c r="E447" s="13" t="s">
        <v>815</v>
      </c>
      <c r="F447" s="13" t="s">
        <v>816</v>
      </c>
      <c r="G447" s="61" t="n">
        <v>1002718575656</v>
      </c>
      <c r="H447" s="13" t="s">
        <v>1435</v>
      </c>
      <c r="I447" s="13"/>
      <c r="J447" s="13" t="s">
        <v>1458</v>
      </c>
      <c r="K447" s="13" t="s">
        <v>608</v>
      </c>
      <c r="L447" s="13" t="s">
        <v>1443</v>
      </c>
      <c r="M447" s="13"/>
    </row>
    <row r="448" customFormat="false" ht="15" hidden="false" customHeight="false" outlineLevel="0" collapsed="false">
      <c r="A448" s="13" t="s">
        <v>595</v>
      </c>
      <c r="B448" s="13" t="s">
        <v>594</v>
      </c>
      <c r="C448" s="13" t="s">
        <v>1448</v>
      </c>
      <c r="D448" s="13" t="s">
        <v>59</v>
      </c>
      <c r="E448" s="13" t="s">
        <v>815</v>
      </c>
      <c r="F448" s="13" t="s">
        <v>816</v>
      </c>
      <c r="G448" s="61" t="n">
        <v>1152073419657</v>
      </c>
      <c r="H448" s="13" t="s">
        <v>1435</v>
      </c>
      <c r="I448" s="13"/>
      <c r="J448" s="13" t="s">
        <v>1459</v>
      </c>
      <c r="K448" s="13" t="s">
        <v>609</v>
      </c>
      <c r="L448" s="13" t="s">
        <v>1443</v>
      </c>
      <c r="M448" s="13"/>
    </row>
    <row r="449" customFormat="false" ht="15" hidden="false" customHeight="false" outlineLevel="0" collapsed="false">
      <c r="A449" s="13" t="s">
        <v>595</v>
      </c>
      <c r="B449" s="13" t="s">
        <v>594</v>
      </c>
      <c r="C449" s="13" t="s">
        <v>1434</v>
      </c>
      <c r="D449" s="13" t="s">
        <v>59</v>
      </c>
      <c r="E449" s="13" t="s">
        <v>818</v>
      </c>
      <c r="F449" s="13" t="s">
        <v>819</v>
      </c>
      <c r="G449" s="61" t="n">
        <v>3289834819936</v>
      </c>
      <c r="H449" s="13" t="s">
        <v>1435</v>
      </c>
      <c r="I449" s="13"/>
      <c r="J449" s="13" t="s">
        <v>1451</v>
      </c>
      <c r="K449" s="13" t="s">
        <v>1437</v>
      </c>
      <c r="L449" s="13" t="s">
        <v>1438</v>
      </c>
      <c r="M449" s="13"/>
    </row>
    <row r="450" customFormat="false" ht="15" hidden="false" customHeight="false" outlineLevel="0" collapsed="false">
      <c r="A450" s="13" t="s">
        <v>595</v>
      </c>
      <c r="B450" s="13" t="s">
        <v>594</v>
      </c>
      <c r="C450" s="13" t="s">
        <v>1439</v>
      </c>
      <c r="D450" s="13" t="s">
        <v>59</v>
      </c>
      <c r="E450" s="13" t="s">
        <v>818</v>
      </c>
      <c r="F450" s="13" t="s">
        <v>819</v>
      </c>
      <c r="G450" s="61" t="n">
        <v>3297251127929</v>
      </c>
      <c r="H450" s="13" t="s">
        <v>1435</v>
      </c>
      <c r="I450" s="13"/>
      <c r="J450" s="13" t="s">
        <v>1460</v>
      </c>
      <c r="K450" s="13" t="s">
        <v>1441</v>
      </c>
      <c r="L450" s="13" t="s">
        <v>1438</v>
      </c>
      <c r="M450" s="13"/>
    </row>
    <row r="451" customFormat="false" ht="15" hidden="false" customHeight="false" outlineLevel="0" collapsed="false">
      <c r="A451" s="13" t="s">
        <v>595</v>
      </c>
      <c r="B451" s="13" t="s">
        <v>594</v>
      </c>
      <c r="C451" s="13" t="s">
        <v>1442</v>
      </c>
      <c r="D451" s="13" t="s">
        <v>59</v>
      </c>
      <c r="E451" s="13" t="s">
        <v>818</v>
      </c>
      <c r="F451" s="13" t="s">
        <v>819</v>
      </c>
      <c r="G451" s="61" t="n">
        <v>3205908066461</v>
      </c>
      <c r="H451" s="13" t="s">
        <v>1435</v>
      </c>
      <c r="I451" s="13"/>
      <c r="J451" s="13" t="s">
        <v>1460</v>
      </c>
      <c r="K451" s="13" t="s">
        <v>606</v>
      </c>
      <c r="L451" s="13" t="s">
        <v>1443</v>
      </c>
      <c r="M451" s="13"/>
    </row>
    <row r="452" customFormat="false" ht="15" hidden="false" customHeight="false" outlineLevel="0" collapsed="false">
      <c r="A452" s="13" t="s">
        <v>595</v>
      </c>
      <c r="B452" s="13" t="s">
        <v>594</v>
      </c>
      <c r="C452" s="13" t="s">
        <v>1444</v>
      </c>
      <c r="D452" s="13" t="s">
        <v>59</v>
      </c>
      <c r="E452" s="13" t="s">
        <v>818</v>
      </c>
      <c r="F452" s="13" t="s">
        <v>819</v>
      </c>
      <c r="G452" s="61" t="n">
        <v>3096499493860</v>
      </c>
      <c r="H452" s="13" t="s">
        <v>1435</v>
      </c>
      <c r="I452" s="13"/>
      <c r="J452" s="13" t="s">
        <v>1461</v>
      </c>
      <c r="K452" s="13" t="s">
        <v>607</v>
      </c>
      <c r="L452" s="13" t="s">
        <v>1443</v>
      </c>
      <c r="M452" s="13"/>
    </row>
    <row r="453" customFormat="false" ht="15" hidden="false" customHeight="false" outlineLevel="0" collapsed="false">
      <c r="A453" s="13" t="s">
        <v>595</v>
      </c>
      <c r="B453" s="13" t="s">
        <v>594</v>
      </c>
      <c r="C453" s="13" t="s">
        <v>1446</v>
      </c>
      <c r="D453" s="13" t="s">
        <v>59</v>
      </c>
      <c r="E453" s="13" t="s">
        <v>818</v>
      </c>
      <c r="F453" s="13" t="s">
        <v>819</v>
      </c>
      <c r="G453" s="61" t="n">
        <v>3016767267251</v>
      </c>
      <c r="H453" s="13" t="s">
        <v>1435</v>
      </c>
      <c r="I453" s="13"/>
      <c r="J453" s="13" t="s">
        <v>1462</v>
      </c>
      <c r="K453" s="13" t="s">
        <v>608</v>
      </c>
      <c r="L453" s="13" t="s">
        <v>1443</v>
      </c>
      <c r="M453" s="13"/>
    </row>
    <row r="454" customFormat="false" ht="15" hidden="false" customHeight="false" outlineLevel="0" collapsed="false">
      <c r="A454" s="13" t="s">
        <v>595</v>
      </c>
      <c r="B454" s="13" t="s">
        <v>594</v>
      </c>
      <c r="C454" s="13" t="s">
        <v>1448</v>
      </c>
      <c r="D454" s="13" t="s">
        <v>59</v>
      </c>
      <c r="E454" s="13" t="s">
        <v>818</v>
      </c>
      <c r="F454" s="13" t="s">
        <v>819</v>
      </c>
      <c r="G454" s="61" t="n">
        <v>3022043093818</v>
      </c>
      <c r="H454" s="13" t="s">
        <v>1435</v>
      </c>
      <c r="I454" s="13"/>
      <c r="J454" s="13" t="s">
        <v>1463</v>
      </c>
      <c r="K454" s="13" t="s">
        <v>609</v>
      </c>
      <c r="L454" s="13" t="s">
        <v>1443</v>
      </c>
      <c r="M454" s="13"/>
    </row>
    <row r="455" customFormat="false" ht="15" hidden="false" customHeight="false" outlineLevel="0" collapsed="false">
      <c r="A455" s="13" t="s">
        <v>595</v>
      </c>
      <c r="B455" s="13" t="s">
        <v>594</v>
      </c>
      <c r="C455" s="13" t="s">
        <v>1434</v>
      </c>
      <c r="D455" s="13" t="s">
        <v>59</v>
      </c>
      <c r="E455" s="13" t="s">
        <v>821</v>
      </c>
      <c r="F455" s="13" t="s">
        <v>822</v>
      </c>
      <c r="G455" s="61" t="n">
        <v>3290757439256</v>
      </c>
      <c r="H455" s="13" t="s">
        <v>1435</v>
      </c>
      <c r="I455" s="13"/>
      <c r="J455" s="13" t="s">
        <v>1451</v>
      </c>
      <c r="K455" s="13" t="s">
        <v>1437</v>
      </c>
      <c r="L455" s="13" t="s">
        <v>1438</v>
      </c>
      <c r="M455" s="13"/>
    </row>
    <row r="456" customFormat="false" ht="15" hidden="false" customHeight="false" outlineLevel="0" collapsed="false">
      <c r="A456" s="13" t="s">
        <v>595</v>
      </c>
      <c r="B456" s="13" t="s">
        <v>594</v>
      </c>
      <c r="C456" s="13" t="s">
        <v>1439</v>
      </c>
      <c r="D456" s="13" t="s">
        <v>59</v>
      </c>
      <c r="E456" s="13" t="s">
        <v>821</v>
      </c>
      <c r="F456" s="13" t="s">
        <v>822</v>
      </c>
      <c r="G456" s="61" t="n">
        <v>3298267843837</v>
      </c>
      <c r="H456" s="13" t="s">
        <v>1435</v>
      </c>
      <c r="I456" s="13"/>
      <c r="J456" s="13" t="s">
        <v>1460</v>
      </c>
      <c r="K456" s="13" t="s">
        <v>1441</v>
      </c>
      <c r="L456" s="13" t="s">
        <v>1438</v>
      </c>
      <c r="M456" s="13"/>
    </row>
    <row r="457" customFormat="false" ht="15" hidden="false" customHeight="false" outlineLevel="0" collapsed="false">
      <c r="A457" s="13" t="s">
        <v>595</v>
      </c>
      <c r="B457" s="13" t="s">
        <v>594</v>
      </c>
      <c r="C457" s="13" t="s">
        <v>1442</v>
      </c>
      <c r="D457" s="13" t="s">
        <v>59</v>
      </c>
      <c r="E457" s="13" t="s">
        <v>821</v>
      </c>
      <c r="F457" s="13" t="s">
        <v>822</v>
      </c>
      <c r="G457" s="61" t="n">
        <v>3206891802522</v>
      </c>
      <c r="H457" s="13" t="s">
        <v>1435</v>
      </c>
      <c r="I457" s="13"/>
      <c r="J457" s="13" t="s">
        <v>1460</v>
      </c>
      <c r="K457" s="13" t="s">
        <v>606</v>
      </c>
      <c r="L457" s="13" t="s">
        <v>1443</v>
      </c>
      <c r="M457" s="13"/>
    </row>
    <row r="458" customFormat="false" ht="15" hidden="false" customHeight="false" outlineLevel="0" collapsed="false">
      <c r="A458" s="13" t="s">
        <v>595</v>
      </c>
      <c r="B458" s="13" t="s">
        <v>594</v>
      </c>
      <c r="C458" s="13" t="s">
        <v>1444</v>
      </c>
      <c r="D458" s="13" t="s">
        <v>59</v>
      </c>
      <c r="E458" s="13" t="s">
        <v>821</v>
      </c>
      <c r="F458" s="13" t="s">
        <v>822</v>
      </c>
      <c r="G458" s="61" t="n">
        <v>3097724008001</v>
      </c>
      <c r="H458" s="13" t="s">
        <v>1435</v>
      </c>
      <c r="I458" s="13"/>
      <c r="J458" s="13" t="s">
        <v>1461</v>
      </c>
      <c r="K458" s="13" t="s">
        <v>607</v>
      </c>
      <c r="L458" s="13" t="s">
        <v>1443</v>
      </c>
      <c r="M458" s="13"/>
    </row>
    <row r="459" customFormat="false" ht="15" hidden="false" customHeight="false" outlineLevel="0" collapsed="false">
      <c r="A459" s="13" t="s">
        <v>595</v>
      </c>
      <c r="B459" s="13" t="s">
        <v>594</v>
      </c>
      <c r="C459" s="13" t="s">
        <v>1446</v>
      </c>
      <c r="D459" s="13" t="s">
        <v>59</v>
      </c>
      <c r="E459" s="13" t="s">
        <v>821</v>
      </c>
      <c r="F459" s="13" t="s">
        <v>822</v>
      </c>
      <c r="G459" s="61" t="n">
        <v>3018386836728</v>
      </c>
      <c r="H459" s="13" t="s">
        <v>1435</v>
      </c>
      <c r="I459" s="13"/>
      <c r="J459" s="13" t="s">
        <v>1462</v>
      </c>
      <c r="K459" s="13" t="s">
        <v>608</v>
      </c>
      <c r="L459" s="13" t="s">
        <v>1443</v>
      </c>
      <c r="M459" s="13"/>
    </row>
    <row r="460" customFormat="false" ht="15" hidden="false" customHeight="false" outlineLevel="0" collapsed="false">
      <c r="A460" s="13" t="s">
        <v>595</v>
      </c>
      <c r="B460" s="13" t="s">
        <v>594</v>
      </c>
      <c r="C460" s="13" t="s">
        <v>1448</v>
      </c>
      <c r="D460" s="13" t="s">
        <v>59</v>
      </c>
      <c r="E460" s="13" t="s">
        <v>821</v>
      </c>
      <c r="F460" s="13" t="s">
        <v>822</v>
      </c>
      <c r="G460" s="61" t="n">
        <v>3023855511108</v>
      </c>
      <c r="H460" s="13" t="s">
        <v>1435</v>
      </c>
      <c r="I460" s="13"/>
      <c r="J460" s="13" t="s">
        <v>1463</v>
      </c>
      <c r="K460" s="13" t="s">
        <v>609</v>
      </c>
      <c r="L460" s="13" t="s">
        <v>1443</v>
      </c>
      <c r="M460" s="13"/>
    </row>
    <row r="461" customFormat="false" ht="15" hidden="false" customHeight="false" outlineLevel="0" collapsed="false">
      <c r="A461" s="13" t="s">
        <v>595</v>
      </c>
      <c r="B461" s="13" t="s">
        <v>594</v>
      </c>
      <c r="C461" s="13" t="s">
        <v>1434</v>
      </c>
      <c r="D461" s="13" t="s">
        <v>59</v>
      </c>
      <c r="E461" s="13" t="s">
        <v>824</v>
      </c>
      <c r="F461" s="13" t="s">
        <v>825</v>
      </c>
      <c r="G461" s="61" t="n">
        <v>3445671264153</v>
      </c>
      <c r="H461" s="13" t="s">
        <v>1435</v>
      </c>
      <c r="I461" s="13"/>
      <c r="J461" s="13" t="s">
        <v>1451</v>
      </c>
      <c r="K461" s="13" t="s">
        <v>1437</v>
      </c>
      <c r="L461" s="13" t="s">
        <v>1438</v>
      </c>
      <c r="M461" s="13"/>
    </row>
    <row r="462" customFormat="false" ht="15" hidden="false" customHeight="false" outlineLevel="0" collapsed="false">
      <c r="A462" s="13" t="s">
        <v>595</v>
      </c>
      <c r="B462" s="13" t="s">
        <v>594</v>
      </c>
      <c r="C462" s="13" t="s">
        <v>1439</v>
      </c>
      <c r="D462" s="13" t="s">
        <v>59</v>
      </c>
      <c r="E462" s="13" t="s">
        <v>824</v>
      </c>
      <c r="F462" s="13" t="s">
        <v>825</v>
      </c>
      <c r="G462" s="61" t="n">
        <v>4211211802258</v>
      </c>
      <c r="H462" s="13" t="s">
        <v>1435</v>
      </c>
      <c r="I462" s="13"/>
      <c r="J462" s="13" t="s">
        <v>1460</v>
      </c>
      <c r="K462" s="13" t="s">
        <v>1441</v>
      </c>
      <c r="L462" s="13" t="s">
        <v>1438</v>
      </c>
      <c r="M462" s="13"/>
    </row>
    <row r="463" customFormat="false" ht="15" hidden="false" customHeight="false" outlineLevel="0" collapsed="false">
      <c r="A463" s="13" t="s">
        <v>595</v>
      </c>
      <c r="B463" s="13" t="s">
        <v>594</v>
      </c>
      <c r="C463" s="13" t="s">
        <v>1442</v>
      </c>
      <c r="D463" s="13" t="s">
        <v>59</v>
      </c>
      <c r="E463" s="13" t="s">
        <v>824</v>
      </c>
      <c r="F463" s="13" t="s">
        <v>825</v>
      </c>
      <c r="G463" s="61" t="n">
        <v>4234621132412</v>
      </c>
      <c r="H463" s="13" t="s">
        <v>1435</v>
      </c>
      <c r="I463" s="13"/>
      <c r="J463" s="13" t="s">
        <v>1460</v>
      </c>
      <c r="K463" s="13" t="s">
        <v>606</v>
      </c>
      <c r="L463" s="13" t="s">
        <v>1443</v>
      </c>
      <c r="M463" s="13"/>
    </row>
    <row r="464" customFormat="false" ht="15" hidden="false" customHeight="false" outlineLevel="0" collapsed="false">
      <c r="A464" s="13" t="s">
        <v>595</v>
      </c>
      <c r="B464" s="13" t="s">
        <v>594</v>
      </c>
      <c r="C464" s="13" t="s">
        <v>1444</v>
      </c>
      <c r="D464" s="13" t="s">
        <v>59</v>
      </c>
      <c r="E464" s="13" t="s">
        <v>824</v>
      </c>
      <c r="F464" s="13" t="s">
        <v>825</v>
      </c>
      <c r="G464" s="61" t="n">
        <v>4137006257713</v>
      </c>
      <c r="H464" s="13" t="s">
        <v>1435</v>
      </c>
      <c r="I464" s="13"/>
      <c r="J464" s="13" t="s">
        <v>1461</v>
      </c>
      <c r="K464" s="13" t="s">
        <v>607</v>
      </c>
      <c r="L464" s="13" t="s">
        <v>1443</v>
      </c>
      <c r="M464" s="13"/>
    </row>
    <row r="465" customFormat="false" ht="15" hidden="false" customHeight="false" outlineLevel="0" collapsed="false">
      <c r="A465" s="13" t="s">
        <v>595</v>
      </c>
      <c r="B465" s="13" t="s">
        <v>594</v>
      </c>
      <c r="C465" s="13" t="s">
        <v>1446</v>
      </c>
      <c r="D465" s="13" t="s">
        <v>59</v>
      </c>
      <c r="E465" s="13" t="s">
        <v>824</v>
      </c>
      <c r="F465" s="13" t="s">
        <v>825</v>
      </c>
      <c r="G465" s="61" t="n">
        <v>4021105412384</v>
      </c>
      <c r="H465" s="13" t="s">
        <v>1435</v>
      </c>
      <c r="I465" s="13"/>
      <c r="J465" s="13" t="s">
        <v>1462</v>
      </c>
      <c r="K465" s="13" t="s">
        <v>608</v>
      </c>
      <c r="L465" s="13" t="s">
        <v>1443</v>
      </c>
      <c r="M465" s="13"/>
    </row>
    <row r="466" customFormat="false" ht="15" hidden="false" customHeight="false" outlineLevel="0" collapsed="false">
      <c r="A466" s="13" t="s">
        <v>595</v>
      </c>
      <c r="B466" s="13" t="s">
        <v>594</v>
      </c>
      <c r="C466" s="13" t="s">
        <v>1448</v>
      </c>
      <c r="D466" s="13" t="s">
        <v>59</v>
      </c>
      <c r="E466" s="13" t="s">
        <v>824</v>
      </c>
      <c r="F466" s="13" t="s">
        <v>825</v>
      </c>
      <c r="G466" s="61" t="n">
        <v>4175928930765</v>
      </c>
      <c r="H466" s="13" t="s">
        <v>1435</v>
      </c>
      <c r="I466" s="13"/>
      <c r="J466" s="13" t="s">
        <v>1463</v>
      </c>
      <c r="K466" s="13" t="s">
        <v>609</v>
      </c>
      <c r="L466" s="13" t="s">
        <v>1443</v>
      </c>
      <c r="M466" s="13"/>
    </row>
    <row r="467" customFormat="false" ht="15" hidden="false" customHeight="false" outlineLevel="0" collapsed="false">
      <c r="A467" s="13" t="s">
        <v>595</v>
      </c>
      <c r="B467" s="13" t="s">
        <v>594</v>
      </c>
      <c r="C467" s="13" t="s">
        <v>1434</v>
      </c>
      <c r="D467" s="13" t="s">
        <v>61</v>
      </c>
      <c r="E467" s="13" t="s">
        <v>831</v>
      </c>
      <c r="F467" s="13" t="s">
        <v>832</v>
      </c>
      <c r="G467" s="61" t="n">
        <v>224592214488</v>
      </c>
      <c r="H467" s="13" t="s">
        <v>1435</v>
      </c>
      <c r="I467" s="13"/>
      <c r="J467" s="13" t="s">
        <v>1464</v>
      </c>
      <c r="K467" s="13" t="s">
        <v>1437</v>
      </c>
      <c r="L467" s="13" t="s">
        <v>1438</v>
      </c>
      <c r="M467" s="13"/>
    </row>
    <row r="468" customFormat="false" ht="15" hidden="false" customHeight="false" outlineLevel="0" collapsed="false">
      <c r="A468" s="13" t="s">
        <v>595</v>
      </c>
      <c r="B468" s="13" t="s">
        <v>594</v>
      </c>
      <c r="C468" s="13" t="s">
        <v>1439</v>
      </c>
      <c r="D468" s="13" t="s">
        <v>61</v>
      </c>
      <c r="E468" s="13" t="s">
        <v>831</v>
      </c>
      <c r="F468" s="13" t="s">
        <v>832</v>
      </c>
      <c r="G468" s="61" t="n">
        <v>292751864402</v>
      </c>
      <c r="H468" s="13" t="s">
        <v>1435</v>
      </c>
      <c r="I468" s="13"/>
      <c r="J468" s="13" t="s">
        <v>1465</v>
      </c>
      <c r="K468" s="13" t="s">
        <v>1441</v>
      </c>
      <c r="L468" s="13" t="s">
        <v>1438</v>
      </c>
      <c r="M468" s="13"/>
    </row>
    <row r="469" customFormat="false" ht="15" hidden="false" customHeight="false" outlineLevel="0" collapsed="false">
      <c r="A469" s="13" t="s">
        <v>595</v>
      </c>
      <c r="B469" s="13" t="s">
        <v>594</v>
      </c>
      <c r="C469" s="13" t="s">
        <v>1442</v>
      </c>
      <c r="D469" s="13" t="s">
        <v>61</v>
      </c>
      <c r="E469" s="13" t="s">
        <v>831</v>
      </c>
      <c r="F469" s="13" t="s">
        <v>832</v>
      </c>
      <c r="G469" s="61" t="n">
        <v>253841095105</v>
      </c>
      <c r="H469" s="13" t="s">
        <v>1435</v>
      </c>
      <c r="I469" s="13"/>
      <c r="J469" s="13" t="s">
        <v>1465</v>
      </c>
      <c r="K469" s="13" t="s">
        <v>606</v>
      </c>
      <c r="L469" s="13" t="s">
        <v>1443</v>
      </c>
      <c r="M469" s="13"/>
    </row>
    <row r="470" customFormat="false" ht="15" hidden="false" customHeight="false" outlineLevel="0" collapsed="false">
      <c r="A470" s="13" t="s">
        <v>595</v>
      </c>
      <c r="B470" s="13" t="s">
        <v>594</v>
      </c>
      <c r="C470" s="13" t="s">
        <v>1444</v>
      </c>
      <c r="D470" s="13" t="s">
        <v>61</v>
      </c>
      <c r="E470" s="13" t="s">
        <v>831</v>
      </c>
      <c r="F470" s="13" t="s">
        <v>832</v>
      </c>
      <c r="G470" s="61" t="n">
        <v>232326431071</v>
      </c>
      <c r="H470" s="13" t="s">
        <v>1435</v>
      </c>
      <c r="I470" s="13"/>
      <c r="J470" s="13" t="s">
        <v>1466</v>
      </c>
      <c r="K470" s="13" t="s">
        <v>607</v>
      </c>
      <c r="L470" s="13" t="s">
        <v>1443</v>
      </c>
      <c r="M470" s="13"/>
    </row>
    <row r="471" customFormat="false" ht="15" hidden="false" customHeight="false" outlineLevel="0" collapsed="false">
      <c r="A471" s="13" t="s">
        <v>595</v>
      </c>
      <c r="B471" s="13" t="s">
        <v>594</v>
      </c>
      <c r="C471" s="13" t="s">
        <v>1446</v>
      </c>
      <c r="D471" s="13" t="s">
        <v>61</v>
      </c>
      <c r="E471" s="13" t="s">
        <v>831</v>
      </c>
      <c r="F471" s="13" t="s">
        <v>832</v>
      </c>
      <c r="G471" s="61" t="n">
        <v>308225530263</v>
      </c>
      <c r="H471" s="13" t="s">
        <v>1435</v>
      </c>
      <c r="I471" s="13"/>
      <c r="J471" s="13" t="s">
        <v>1467</v>
      </c>
      <c r="K471" s="13" t="s">
        <v>608</v>
      </c>
      <c r="L471" s="13" t="s">
        <v>1443</v>
      </c>
      <c r="M471" s="13"/>
    </row>
    <row r="472" customFormat="false" ht="15" hidden="false" customHeight="false" outlineLevel="0" collapsed="false">
      <c r="A472" s="13" t="s">
        <v>595</v>
      </c>
      <c r="B472" s="13" t="s">
        <v>594</v>
      </c>
      <c r="C472" s="13" t="s">
        <v>1448</v>
      </c>
      <c r="D472" s="13" t="s">
        <v>61</v>
      </c>
      <c r="E472" s="13" t="s">
        <v>831</v>
      </c>
      <c r="F472" s="13" t="s">
        <v>832</v>
      </c>
      <c r="G472" s="61" t="n">
        <v>446447611927</v>
      </c>
      <c r="H472" s="13" t="s">
        <v>1435</v>
      </c>
      <c r="I472" s="13"/>
      <c r="J472" s="13" t="s">
        <v>1468</v>
      </c>
      <c r="K472" s="13" t="s">
        <v>609</v>
      </c>
      <c r="L472" s="13" t="s">
        <v>1443</v>
      </c>
      <c r="M472" s="13"/>
    </row>
    <row r="473" customFormat="false" ht="15" hidden="false" customHeight="false" outlineLevel="0" collapsed="false">
      <c r="A473" s="13" t="s">
        <v>595</v>
      </c>
      <c r="B473" s="13" t="s">
        <v>594</v>
      </c>
      <c r="C473" s="13" t="s">
        <v>1434</v>
      </c>
      <c r="D473" s="13" t="s">
        <v>61</v>
      </c>
      <c r="E473" s="13" t="s">
        <v>834</v>
      </c>
      <c r="F473" s="13" t="s">
        <v>835</v>
      </c>
      <c r="G473" s="61" t="n">
        <v>-54249030622</v>
      </c>
      <c r="H473" s="13" t="s">
        <v>1435</v>
      </c>
      <c r="I473" s="13"/>
      <c r="J473" s="13" t="s">
        <v>1464</v>
      </c>
      <c r="K473" s="13" t="s">
        <v>1437</v>
      </c>
      <c r="L473" s="13" t="s">
        <v>1438</v>
      </c>
      <c r="M473" s="13"/>
    </row>
    <row r="474" customFormat="false" ht="15" hidden="false" customHeight="false" outlineLevel="0" collapsed="false">
      <c r="A474" s="13" t="s">
        <v>595</v>
      </c>
      <c r="B474" s="13" t="s">
        <v>594</v>
      </c>
      <c r="C474" s="13" t="s">
        <v>1439</v>
      </c>
      <c r="D474" s="13" t="s">
        <v>61</v>
      </c>
      <c r="E474" s="13" t="s">
        <v>834</v>
      </c>
      <c r="F474" s="13" t="s">
        <v>835</v>
      </c>
      <c r="G474" s="61" t="n">
        <v>-123129004365</v>
      </c>
      <c r="H474" s="13" t="s">
        <v>1435</v>
      </c>
      <c r="I474" s="13"/>
      <c r="J474" s="13" t="s">
        <v>1465</v>
      </c>
      <c r="K474" s="13" t="s">
        <v>1441</v>
      </c>
      <c r="L474" s="13" t="s">
        <v>1438</v>
      </c>
      <c r="M474" s="13"/>
    </row>
    <row r="475" customFormat="false" ht="15" hidden="false" customHeight="false" outlineLevel="0" collapsed="false">
      <c r="A475" s="13" t="s">
        <v>595</v>
      </c>
      <c r="B475" s="13" t="s">
        <v>594</v>
      </c>
      <c r="C475" s="13" t="s">
        <v>1442</v>
      </c>
      <c r="D475" s="13" t="s">
        <v>61</v>
      </c>
      <c r="E475" s="13" t="s">
        <v>834</v>
      </c>
      <c r="F475" s="13" t="s">
        <v>835</v>
      </c>
      <c r="G475" s="61" t="n">
        <v>-109811205924</v>
      </c>
      <c r="H475" s="13" t="s">
        <v>1435</v>
      </c>
      <c r="I475" s="13"/>
      <c r="J475" s="13" t="s">
        <v>1465</v>
      </c>
      <c r="K475" s="13" t="s">
        <v>606</v>
      </c>
      <c r="L475" s="13" t="s">
        <v>1443</v>
      </c>
      <c r="M475" s="13"/>
    </row>
    <row r="476" customFormat="false" ht="15" hidden="false" customHeight="false" outlineLevel="0" collapsed="false">
      <c r="A476" s="13" t="s">
        <v>595</v>
      </c>
      <c r="B476" s="13" t="s">
        <v>594</v>
      </c>
      <c r="C476" s="13" t="s">
        <v>1444</v>
      </c>
      <c r="D476" s="13" t="s">
        <v>61</v>
      </c>
      <c r="E476" s="13" t="s">
        <v>834</v>
      </c>
      <c r="F476" s="13" t="s">
        <v>835</v>
      </c>
      <c r="G476" s="61" t="n">
        <v>-116752508937</v>
      </c>
      <c r="H476" s="13" t="s">
        <v>1435</v>
      </c>
      <c r="I476" s="13"/>
      <c r="J476" s="13" t="s">
        <v>1466</v>
      </c>
      <c r="K476" s="13" t="s">
        <v>607</v>
      </c>
      <c r="L476" s="13" t="s">
        <v>1443</v>
      </c>
      <c r="M476" s="13"/>
    </row>
    <row r="477" customFormat="false" ht="15" hidden="false" customHeight="false" outlineLevel="0" collapsed="false">
      <c r="A477" s="13" t="s">
        <v>595</v>
      </c>
      <c r="B477" s="13" t="s">
        <v>594</v>
      </c>
      <c r="C477" s="13" t="s">
        <v>1446</v>
      </c>
      <c r="D477" s="13" t="s">
        <v>61</v>
      </c>
      <c r="E477" s="13" t="s">
        <v>834</v>
      </c>
      <c r="F477" s="13" t="s">
        <v>835</v>
      </c>
      <c r="G477" s="61" t="n">
        <v>-211751066528</v>
      </c>
      <c r="H477" s="13" t="s">
        <v>1435</v>
      </c>
      <c r="I477" s="13"/>
      <c r="J477" s="13" t="s">
        <v>1467</v>
      </c>
      <c r="K477" s="13" t="s">
        <v>608</v>
      </c>
      <c r="L477" s="13" t="s">
        <v>1443</v>
      </c>
      <c r="M477" s="13"/>
    </row>
    <row r="478" customFormat="false" ht="15" hidden="false" customHeight="false" outlineLevel="0" collapsed="false">
      <c r="A478" s="13" t="s">
        <v>595</v>
      </c>
      <c r="B478" s="13" t="s">
        <v>594</v>
      </c>
      <c r="C478" s="13" t="s">
        <v>1448</v>
      </c>
      <c r="D478" s="13" t="s">
        <v>61</v>
      </c>
      <c r="E478" s="13" t="s">
        <v>834</v>
      </c>
      <c r="F478" s="13" t="s">
        <v>835</v>
      </c>
      <c r="G478" s="61" t="n">
        <v>-199202830638</v>
      </c>
      <c r="H478" s="13" t="s">
        <v>1435</v>
      </c>
      <c r="I478" s="13"/>
      <c r="J478" s="13" t="s">
        <v>1468</v>
      </c>
      <c r="K478" s="13" t="s">
        <v>609</v>
      </c>
      <c r="L478" s="13" t="s">
        <v>1443</v>
      </c>
      <c r="M478" s="13"/>
    </row>
    <row r="479" customFormat="false" ht="15" hidden="false" customHeight="false" outlineLevel="0" collapsed="false">
      <c r="A479" s="13" t="s">
        <v>595</v>
      </c>
      <c r="B479" s="13" t="s">
        <v>594</v>
      </c>
      <c r="C479" s="13" t="s">
        <v>1434</v>
      </c>
      <c r="D479" s="13" t="s">
        <v>61</v>
      </c>
      <c r="E479" s="13" t="s">
        <v>837</v>
      </c>
      <c r="F479" s="13" t="s">
        <v>838</v>
      </c>
      <c r="G479" s="61" t="n">
        <v>-132743418321</v>
      </c>
      <c r="H479" s="13" t="s">
        <v>1435</v>
      </c>
      <c r="I479" s="13"/>
      <c r="J479" s="13" t="s">
        <v>1464</v>
      </c>
      <c r="K479" s="13" t="s">
        <v>1437</v>
      </c>
      <c r="L479" s="13" t="s">
        <v>1438</v>
      </c>
      <c r="M479" s="13"/>
    </row>
    <row r="480" customFormat="false" ht="15" hidden="false" customHeight="false" outlineLevel="0" collapsed="false">
      <c r="A480" s="13" t="s">
        <v>595</v>
      </c>
      <c r="B480" s="13" t="s">
        <v>594</v>
      </c>
      <c r="C480" s="13" t="s">
        <v>1439</v>
      </c>
      <c r="D480" s="13" t="s">
        <v>61</v>
      </c>
      <c r="E480" s="13" t="s">
        <v>837</v>
      </c>
      <c r="F480" s="13" t="s">
        <v>838</v>
      </c>
      <c r="G480" s="61" t="n">
        <v>-84054771676</v>
      </c>
      <c r="H480" s="13" t="s">
        <v>1435</v>
      </c>
      <c r="I480" s="13"/>
      <c r="J480" s="13" t="s">
        <v>1465</v>
      </c>
      <c r="K480" s="13" t="s">
        <v>1441</v>
      </c>
      <c r="L480" s="13" t="s">
        <v>1438</v>
      </c>
      <c r="M480" s="13"/>
    </row>
    <row r="481" customFormat="false" ht="15" hidden="false" customHeight="false" outlineLevel="0" collapsed="false">
      <c r="A481" s="13" t="s">
        <v>595</v>
      </c>
      <c r="B481" s="13" t="s">
        <v>594</v>
      </c>
      <c r="C481" s="13" t="s">
        <v>1442</v>
      </c>
      <c r="D481" s="13" t="s">
        <v>61</v>
      </c>
      <c r="E481" s="13" t="s">
        <v>837</v>
      </c>
      <c r="F481" s="13" t="s">
        <v>838</v>
      </c>
      <c r="G481" s="61" t="n">
        <v>-100269540230</v>
      </c>
      <c r="H481" s="13" t="s">
        <v>1435</v>
      </c>
      <c r="I481" s="13"/>
      <c r="J481" s="13" t="s">
        <v>1465</v>
      </c>
      <c r="K481" s="13" t="s">
        <v>606</v>
      </c>
      <c r="L481" s="13" t="s">
        <v>1443</v>
      </c>
      <c r="M481" s="13"/>
    </row>
    <row r="482" customFormat="false" ht="15" hidden="false" customHeight="false" outlineLevel="0" collapsed="false">
      <c r="A482" s="13" t="s">
        <v>595</v>
      </c>
      <c r="B482" s="13" t="s">
        <v>594</v>
      </c>
      <c r="C482" s="13" t="s">
        <v>1444</v>
      </c>
      <c r="D482" s="13" t="s">
        <v>61</v>
      </c>
      <c r="E482" s="13" t="s">
        <v>837</v>
      </c>
      <c r="F482" s="13" t="s">
        <v>838</v>
      </c>
      <c r="G482" s="61" t="n">
        <v>-81620584124</v>
      </c>
      <c r="H482" s="13" t="s">
        <v>1435</v>
      </c>
      <c r="I482" s="13"/>
      <c r="J482" s="13" t="s">
        <v>1466</v>
      </c>
      <c r="K482" s="13" t="s">
        <v>607</v>
      </c>
      <c r="L482" s="13" t="s">
        <v>1443</v>
      </c>
      <c r="M482" s="13"/>
    </row>
    <row r="483" customFormat="false" ht="15" hidden="false" customHeight="false" outlineLevel="0" collapsed="false">
      <c r="A483" s="13" t="s">
        <v>595</v>
      </c>
      <c r="B483" s="13" t="s">
        <v>594</v>
      </c>
      <c r="C483" s="13" t="s">
        <v>1446</v>
      </c>
      <c r="D483" s="13" t="s">
        <v>61</v>
      </c>
      <c r="E483" s="13" t="s">
        <v>837</v>
      </c>
      <c r="F483" s="13" t="s">
        <v>838</v>
      </c>
      <c r="G483" s="61" t="n">
        <v>-91189172580</v>
      </c>
      <c r="H483" s="13" t="s">
        <v>1435</v>
      </c>
      <c r="I483" s="13"/>
      <c r="J483" s="13" t="s">
        <v>1467</v>
      </c>
      <c r="K483" s="13" t="s">
        <v>608</v>
      </c>
      <c r="L483" s="13" t="s">
        <v>1443</v>
      </c>
      <c r="M483" s="13"/>
    </row>
    <row r="484" customFormat="false" ht="15" hidden="false" customHeight="false" outlineLevel="0" collapsed="false">
      <c r="A484" s="13" t="s">
        <v>595</v>
      </c>
      <c r="B484" s="13" t="s">
        <v>594</v>
      </c>
      <c r="C484" s="13" t="s">
        <v>1448</v>
      </c>
      <c r="D484" s="13" t="s">
        <v>61</v>
      </c>
      <c r="E484" s="13" t="s">
        <v>837</v>
      </c>
      <c r="F484" s="13" t="s">
        <v>838</v>
      </c>
      <c r="G484" s="61" t="n">
        <v>-93665214277</v>
      </c>
      <c r="H484" s="13" t="s">
        <v>1435</v>
      </c>
      <c r="I484" s="13"/>
      <c r="J484" s="13" t="s">
        <v>1468</v>
      </c>
      <c r="K484" s="13" t="s">
        <v>609</v>
      </c>
      <c r="L484" s="13" t="s">
        <v>1443</v>
      </c>
      <c r="M484" s="13"/>
    </row>
    <row r="485" customFormat="false" ht="15" hidden="false" customHeight="false" outlineLevel="0" collapsed="false">
      <c r="A485" s="13" t="s">
        <v>595</v>
      </c>
      <c r="B485" s="13" t="s">
        <v>594</v>
      </c>
      <c r="C485" s="13" t="s">
        <v>1434</v>
      </c>
      <c r="D485" s="13" t="s">
        <v>61</v>
      </c>
      <c r="E485" s="13" t="s">
        <v>840</v>
      </c>
      <c r="F485" s="13" t="s">
        <v>841</v>
      </c>
      <c r="G485" s="61" t="n">
        <v>-16158312467</v>
      </c>
      <c r="H485" s="13" t="s">
        <v>1435</v>
      </c>
      <c r="I485" s="13"/>
      <c r="J485" s="13" t="s">
        <v>1464</v>
      </c>
      <c r="K485" s="13" t="s">
        <v>1437</v>
      </c>
      <c r="L485" s="13" t="s">
        <v>1438</v>
      </c>
      <c r="M485" s="13"/>
    </row>
    <row r="486" customFormat="false" ht="15" hidden="false" customHeight="false" outlineLevel="0" collapsed="false">
      <c r="A486" s="13" t="s">
        <v>595</v>
      </c>
      <c r="B486" s="13" t="s">
        <v>594</v>
      </c>
      <c r="C486" s="13" t="s">
        <v>1439</v>
      </c>
      <c r="D486" s="13" t="s">
        <v>61</v>
      </c>
      <c r="E486" s="13" t="s">
        <v>840</v>
      </c>
      <c r="F486" s="13" t="s">
        <v>841</v>
      </c>
      <c r="G486" s="61" t="n">
        <v>-27083325288</v>
      </c>
      <c r="H486" s="13" t="s">
        <v>1435</v>
      </c>
      <c r="I486" s="13"/>
      <c r="J486" s="13" t="s">
        <v>1465</v>
      </c>
      <c r="K486" s="13" t="s">
        <v>1441</v>
      </c>
      <c r="L486" s="13" t="s">
        <v>1438</v>
      </c>
      <c r="M486" s="13"/>
    </row>
    <row r="487" customFormat="false" ht="15" hidden="false" customHeight="false" outlineLevel="0" collapsed="false">
      <c r="A487" s="13" t="s">
        <v>595</v>
      </c>
      <c r="B487" s="13" t="s">
        <v>594</v>
      </c>
      <c r="C487" s="13" t="s">
        <v>1442</v>
      </c>
      <c r="D487" s="13" t="s">
        <v>61</v>
      </c>
      <c r="E487" s="13" t="s">
        <v>840</v>
      </c>
      <c r="F487" s="13" t="s">
        <v>841</v>
      </c>
      <c r="G487" s="61" t="n">
        <v>-43600635995</v>
      </c>
      <c r="H487" s="13" t="s">
        <v>1435</v>
      </c>
      <c r="I487" s="13"/>
      <c r="J487" s="13" t="s">
        <v>1465</v>
      </c>
      <c r="K487" s="13" t="s">
        <v>606</v>
      </c>
      <c r="L487" s="13" t="s">
        <v>1443</v>
      </c>
      <c r="M487" s="13"/>
    </row>
    <row r="488" customFormat="false" ht="15" hidden="false" customHeight="false" outlineLevel="0" collapsed="false">
      <c r="A488" s="13" t="s">
        <v>595</v>
      </c>
      <c r="B488" s="13" t="s">
        <v>594</v>
      </c>
      <c r="C488" s="13" t="s">
        <v>1444</v>
      </c>
      <c r="D488" s="13" t="s">
        <v>61</v>
      </c>
      <c r="E488" s="13" t="s">
        <v>840</v>
      </c>
      <c r="F488" s="13" t="s">
        <v>841</v>
      </c>
      <c r="G488" s="61" t="n">
        <v>-40146098673</v>
      </c>
      <c r="H488" s="13" t="s">
        <v>1435</v>
      </c>
      <c r="I488" s="13"/>
      <c r="J488" s="13" t="s">
        <v>1466</v>
      </c>
      <c r="K488" s="13" t="s">
        <v>607</v>
      </c>
      <c r="L488" s="13" t="s">
        <v>1443</v>
      </c>
      <c r="M488" s="13"/>
    </row>
    <row r="489" customFormat="false" ht="15" hidden="false" customHeight="false" outlineLevel="0" collapsed="false">
      <c r="A489" s="13" t="s">
        <v>595</v>
      </c>
      <c r="B489" s="13" t="s">
        <v>594</v>
      </c>
      <c r="C489" s="13" t="s">
        <v>1446</v>
      </c>
      <c r="D489" s="13" t="s">
        <v>61</v>
      </c>
      <c r="E489" s="13" t="s">
        <v>840</v>
      </c>
      <c r="F489" s="13" t="s">
        <v>841</v>
      </c>
      <c r="G489" s="61" t="n">
        <v>-39779078019</v>
      </c>
      <c r="H489" s="13" t="s">
        <v>1435</v>
      </c>
      <c r="I489" s="13"/>
      <c r="J489" s="13" t="s">
        <v>1467</v>
      </c>
      <c r="K489" s="13" t="s">
        <v>608</v>
      </c>
      <c r="L489" s="13" t="s">
        <v>1443</v>
      </c>
      <c r="M489" s="13"/>
    </row>
    <row r="490" customFormat="false" ht="15" hidden="false" customHeight="false" outlineLevel="0" collapsed="false">
      <c r="A490" s="13" t="s">
        <v>595</v>
      </c>
      <c r="B490" s="13" t="s">
        <v>594</v>
      </c>
      <c r="C490" s="13" t="s">
        <v>1448</v>
      </c>
      <c r="D490" s="13" t="s">
        <v>61</v>
      </c>
      <c r="E490" s="13" t="s">
        <v>840</v>
      </c>
      <c r="F490" s="13" t="s">
        <v>841</v>
      </c>
      <c r="G490" s="61" t="n">
        <v>-48300245415</v>
      </c>
      <c r="H490" s="13" t="s">
        <v>1435</v>
      </c>
      <c r="I490" s="13"/>
      <c r="J490" s="13" t="s">
        <v>1468</v>
      </c>
      <c r="K490" s="13" t="s">
        <v>609</v>
      </c>
      <c r="L490" s="13" t="s">
        <v>1443</v>
      </c>
      <c r="M490" s="13"/>
    </row>
    <row r="491" customFormat="false" ht="15" hidden="false" customHeight="false" outlineLevel="0" collapsed="false">
      <c r="A491" s="13" t="s">
        <v>595</v>
      </c>
      <c r="B491" s="13" t="s">
        <v>594</v>
      </c>
      <c r="C491" s="13" t="s">
        <v>1434</v>
      </c>
      <c r="D491" s="13" t="s">
        <v>61</v>
      </c>
      <c r="E491" s="13" t="s">
        <v>843</v>
      </c>
      <c r="F491" s="13" t="s">
        <v>844</v>
      </c>
      <c r="G491" s="61" t="n">
        <v>21441453078</v>
      </c>
      <c r="H491" s="13" t="s">
        <v>1435</v>
      </c>
      <c r="I491" s="13"/>
      <c r="J491" s="13"/>
      <c r="K491" s="13" t="s">
        <v>1437</v>
      </c>
      <c r="L491" s="13" t="s">
        <v>1438</v>
      </c>
      <c r="M491" s="13" t="s">
        <v>1450</v>
      </c>
    </row>
    <row r="492" customFormat="false" ht="15" hidden="false" customHeight="false" outlineLevel="0" collapsed="false">
      <c r="A492" s="13" t="s">
        <v>595</v>
      </c>
      <c r="B492" s="13" t="s">
        <v>594</v>
      </c>
      <c r="C492" s="13" t="s">
        <v>1439</v>
      </c>
      <c r="D492" s="13" t="s">
        <v>61</v>
      </c>
      <c r="E492" s="13" t="s">
        <v>843</v>
      </c>
      <c r="F492" s="13" t="s">
        <v>844</v>
      </c>
      <c r="G492" s="61" t="n">
        <v>58484763073</v>
      </c>
      <c r="H492" s="13" t="s">
        <v>1435</v>
      </c>
      <c r="I492" s="13"/>
      <c r="J492" s="13"/>
      <c r="K492" s="13" t="s">
        <v>1441</v>
      </c>
      <c r="L492" s="13" t="s">
        <v>1438</v>
      </c>
      <c r="M492" s="13" t="s">
        <v>1450</v>
      </c>
    </row>
    <row r="493" customFormat="false" ht="15" hidden="false" customHeight="false" outlineLevel="0" collapsed="false">
      <c r="A493" s="13" t="s">
        <v>595</v>
      </c>
      <c r="B493" s="13" t="s">
        <v>594</v>
      </c>
      <c r="C493" s="13" t="s">
        <v>1442</v>
      </c>
      <c r="D493" s="13" t="s">
        <v>61</v>
      </c>
      <c r="E493" s="13" t="s">
        <v>843</v>
      </c>
      <c r="F493" s="13" t="s">
        <v>844</v>
      </c>
      <c r="G493" s="61" t="n">
        <v>159712956</v>
      </c>
      <c r="H493" s="13" t="s">
        <v>1435</v>
      </c>
      <c r="I493" s="13"/>
      <c r="J493" s="13"/>
      <c r="K493" s="13" t="s">
        <v>606</v>
      </c>
      <c r="L493" s="13" t="s">
        <v>1443</v>
      </c>
      <c r="M493" s="13" t="s">
        <v>1450</v>
      </c>
    </row>
    <row r="494" customFormat="false" ht="15" hidden="false" customHeight="false" outlineLevel="0" collapsed="false">
      <c r="A494" s="13" t="s">
        <v>595</v>
      </c>
      <c r="B494" s="13" t="s">
        <v>594</v>
      </c>
      <c r="C494" s="13" t="s">
        <v>1444</v>
      </c>
      <c r="D494" s="13" t="s">
        <v>61</v>
      </c>
      <c r="E494" s="13" t="s">
        <v>843</v>
      </c>
      <c r="F494" s="13" t="s">
        <v>844</v>
      </c>
      <c r="G494" s="61" t="n">
        <v>-6192760663</v>
      </c>
      <c r="H494" s="13" t="s">
        <v>1435</v>
      </c>
      <c r="I494" s="13"/>
      <c r="J494" s="13"/>
      <c r="K494" s="13" t="s">
        <v>607</v>
      </c>
      <c r="L494" s="13" t="s">
        <v>1443</v>
      </c>
      <c r="M494" s="13" t="s">
        <v>1450</v>
      </c>
    </row>
    <row r="495" customFormat="false" ht="15" hidden="false" customHeight="false" outlineLevel="0" collapsed="false">
      <c r="A495" s="13" t="s">
        <v>595</v>
      </c>
      <c r="B495" s="13" t="s">
        <v>594</v>
      </c>
      <c r="C495" s="13" t="s">
        <v>1446</v>
      </c>
      <c r="D495" s="13" t="s">
        <v>61</v>
      </c>
      <c r="E495" s="13" t="s">
        <v>843</v>
      </c>
      <c r="F495" s="13" t="s">
        <v>844</v>
      </c>
      <c r="G495" s="61" t="n">
        <v>-34493786864</v>
      </c>
      <c r="H495" s="13" t="s">
        <v>1435</v>
      </c>
      <c r="I495" s="13"/>
      <c r="J495" s="13"/>
      <c r="K495" s="13" t="s">
        <v>608</v>
      </c>
      <c r="L495" s="13" t="s">
        <v>1443</v>
      </c>
      <c r="M495" s="13" t="s">
        <v>1450</v>
      </c>
    </row>
    <row r="496" customFormat="false" ht="15" hidden="false" customHeight="false" outlineLevel="0" collapsed="false">
      <c r="A496" s="13" t="s">
        <v>595</v>
      </c>
      <c r="B496" s="13" t="s">
        <v>594</v>
      </c>
      <c r="C496" s="13" t="s">
        <v>1448</v>
      </c>
      <c r="D496" s="13" t="s">
        <v>61</v>
      </c>
      <c r="E496" s="13" t="s">
        <v>843</v>
      </c>
      <c r="F496" s="13" t="s">
        <v>844</v>
      </c>
      <c r="G496" s="61" t="n">
        <v>105279321597</v>
      </c>
      <c r="H496" s="13" t="s">
        <v>1435</v>
      </c>
      <c r="I496" s="13"/>
      <c r="J496" s="13"/>
      <c r="K496" s="13" t="s">
        <v>609</v>
      </c>
      <c r="L496" s="13" t="s">
        <v>1443</v>
      </c>
      <c r="M496" s="13" t="s">
        <v>1450</v>
      </c>
    </row>
    <row r="497" customFormat="false" ht="15" hidden="false" customHeight="false" outlineLevel="0" collapsed="false">
      <c r="A497" s="13" t="s">
        <v>595</v>
      </c>
      <c r="B497" s="13" t="s">
        <v>594</v>
      </c>
      <c r="C497" s="13" t="s">
        <v>1434</v>
      </c>
      <c r="D497" s="13" t="s">
        <v>61</v>
      </c>
      <c r="E497" s="13" t="s">
        <v>845</v>
      </c>
      <c r="F497" s="13" t="s">
        <v>846</v>
      </c>
      <c r="G497" s="61" t="n">
        <v>40428301431</v>
      </c>
      <c r="H497" s="13" t="s">
        <v>1435</v>
      </c>
      <c r="I497" s="13"/>
      <c r="J497" s="13" t="s">
        <v>1464</v>
      </c>
      <c r="K497" s="13" t="s">
        <v>1437</v>
      </c>
      <c r="L497" s="13" t="s">
        <v>1438</v>
      </c>
      <c r="M497" s="13"/>
    </row>
    <row r="498" customFormat="false" ht="15" hidden="false" customHeight="false" outlineLevel="0" collapsed="false">
      <c r="A498" s="13" t="s">
        <v>595</v>
      </c>
      <c r="B498" s="13" t="s">
        <v>594</v>
      </c>
      <c r="C498" s="13" t="s">
        <v>1439</v>
      </c>
      <c r="D498" s="13" t="s">
        <v>61</v>
      </c>
      <c r="E498" s="13" t="s">
        <v>845</v>
      </c>
      <c r="F498" s="13" t="s">
        <v>846</v>
      </c>
      <c r="G498" s="61" t="n">
        <v>8573719399</v>
      </c>
      <c r="H498" s="13" t="s">
        <v>1435</v>
      </c>
      <c r="I498" s="13"/>
      <c r="J498" s="13" t="s">
        <v>1465</v>
      </c>
      <c r="K498" s="13" t="s">
        <v>1441</v>
      </c>
      <c r="L498" s="13" t="s">
        <v>1438</v>
      </c>
      <c r="M498" s="13"/>
    </row>
    <row r="499" customFormat="false" ht="15" hidden="false" customHeight="false" outlineLevel="0" collapsed="false">
      <c r="A499" s="13" t="s">
        <v>595</v>
      </c>
      <c r="B499" s="13" t="s">
        <v>594</v>
      </c>
      <c r="C499" s="13" t="s">
        <v>1442</v>
      </c>
      <c r="D499" s="13" t="s">
        <v>61</v>
      </c>
      <c r="E499" s="13" t="s">
        <v>845</v>
      </c>
      <c r="F499" s="13" t="s">
        <v>846</v>
      </c>
      <c r="G499" s="61" t="n">
        <v>39138613754</v>
      </c>
      <c r="H499" s="13" t="s">
        <v>1435</v>
      </c>
      <c r="I499" s="13"/>
      <c r="J499" s="13" t="s">
        <v>1465</v>
      </c>
      <c r="K499" s="13" t="s">
        <v>606</v>
      </c>
      <c r="L499" s="13" t="s">
        <v>1443</v>
      </c>
      <c r="M499" s="13"/>
    </row>
    <row r="500" customFormat="false" ht="15" hidden="false" customHeight="false" outlineLevel="0" collapsed="false">
      <c r="A500" s="13" t="s">
        <v>595</v>
      </c>
      <c r="B500" s="13" t="s">
        <v>594</v>
      </c>
      <c r="C500" s="13" t="s">
        <v>1444</v>
      </c>
      <c r="D500" s="13" t="s">
        <v>61</v>
      </c>
      <c r="E500" s="13" t="s">
        <v>845</v>
      </c>
      <c r="F500" s="13" t="s">
        <v>846</v>
      </c>
      <c r="G500" s="61" t="n">
        <v>6623274915</v>
      </c>
      <c r="H500" s="13" t="s">
        <v>1435</v>
      </c>
      <c r="I500" s="13"/>
      <c r="J500" s="13" t="s">
        <v>1466</v>
      </c>
      <c r="K500" s="13" t="s">
        <v>607</v>
      </c>
      <c r="L500" s="13" t="s">
        <v>1443</v>
      </c>
      <c r="M500" s="13"/>
    </row>
    <row r="501" customFormat="false" ht="15" hidden="false" customHeight="false" outlineLevel="0" collapsed="false">
      <c r="A501" s="13" t="s">
        <v>595</v>
      </c>
      <c r="B501" s="13" t="s">
        <v>594</v>
      </c>
      <c r="C501" s="13" t="s">
        <v>1446</v>
      </c>
      <c r="D501" s="13" t="s">
        <v>61</v>
      </c>
      <c r="E501" s="13" t="s">
        <v>845</v>
      </c>
      <c r="F501" s="13" t="s">
        <v>846</v>
      </c>
      <c r="G501" s="61" t="n">
        <v>6242710845</v>
      </c>
      <c r="H501" s="13" t="s">
        <v>1435</v>
      </c>
      <c r="I501" s="13"/>
      <c r="J501" s="13" t="s">
        <v>1467</v>
      </c>
      <c r="K501" s="13" t="s">
        <v>608</v>
      </c>
      <c r="L501" s="13" t="s">
        <v>1443</v>
      </c>
      <c r="M501" s="13"/>
    </row>
    <row r="502" customFormat="false" ht="15" hidden="false" customHeight="false" outlineLevel="0" collapsed="false">
      <c r="A502" s="13" t="s">
        <v>595</v>
      </c>
      <c r="B502" s="13" t="s">
        <v>594</v>
      </c>
      <c r="C502" s="13" t="s">
        <v>1448</v>
      </c>
      <c r="D502" s="13" t="s">
        <v>61</v>
      </c>
      <c r="E502" s="13" t="s">
        <v>845</v>
      </c>
      <c r="F502" s="13" t="s">
        <v>846</v>
      </c>
      <c r="G502" s="61" t="n">
        <v>15555391585</v>
      </c>
      <c r="H502" s="13" t="s">
        <v>1435</v>
      </c>
      <c r="I502" s="13"/>
      <c r="J502" s="13" t="s">
        <v>1468</v>
      </c>
      <c r="K502" s="13" t="s">
        <v>609</v>
      </c>
      <c r="L502" s="13" t="s">
        <v>1443</v>
      </c>
      <c r="M502" s="13"/>
    </row>
    <row r="503" customFormat="false" ht="15" hidden="false" customHeight="false" outlineLevel="0" collapsed="false">
      <c r="A503" s="13" t="s">
        <v>595</v>
      </c>
      <c r="B503" s="13" t="s">
        <v>594</v>
      </c>
      <c r="C503" s="13" t="s">
        <v>1434</v>
      </c>
      <c r="D503" s="13" t="s">
        <v>61</v>
      </c>
      <c r="E503" s="13" t="s">
        <v>848</v>
      </c>
      <c r="F503" s="13" t="s">
        <v>849</v>
      </c>
      <c r="G503" s="61" t="n">
        <v>-11305994267</v>
      </c>
      <c r="H503" s="13" t="s">
        <v>1435</v>
      </c>
      <c r="I503" s="13"/>
      <c r="J503" s="13" t="s">
        <v>1464</v>
      </c>
      <c r="K503" s="13" t="s">
        <v>1437</v>
      </c>
      <c r="L503" s="13" t="s">
        <v>1438</v>
      </c>
      <c r="M503" s="13"/>
    </row>
    <row r="504" customFormat="false" ht="15" hidden="false" customHeight="false" outlineLevel="0" collapsed="false">
      <c r="A504" s="13" t="s">
        <v>595</v>
      </c>
      <c r="B504" s="13" t="s">
        <v>594</v>
      </c>
      <c r="C504" s="13" t="s">
        <v>1439</v>
      </c>
      <c r="D504" s="13" t="s">
        <v>61</v>
      </c>
      <c r="E504" s="13" t="s">
        <v>848</v>
      </c>
      <c r="F504" s="13" t="s">
        <v>849</v>
      </c>
      <c r="G504" s="61" t="n">
        <v>-18028301010</v>
      </c>
      <c r="H504" s="13" t="s">
        <v>1435</v>
      </c>
      <c r="I504" s="13"/>
      <c r="J504" s="13" t="s">
        <v>1465</v>
      </c>
      <c r="K504" s="13" t="s">
        <v>1441</v>
      </c>
      <c r="L504" s="13" t="s">
        <v>1438</v>
      </c>
      <c r="M504" s="13"/>
    </row>
    <row r="505" customFormat="false" ht="15" hidden="false" customHeight="false" outlineLevel="0" collapsed="false">
      <c r="A505" s="13" t="s">
        <v>595</v>
      </c>
      <c r="B505" s="13" t="s">
        <v>594</v>
      </c>
      <c r="C505" s="13" t="s">
        <v>1442</v>
      </c>
      <c r="D505" s="13" t="s">
        <v>61</v>
      </c>
      <c r="E505" s="13" t="s">
        <v>848</v>
      </c>
      <c r="F505" s="13" t="s">
        <v>849</v>
      </c>
      <c r="G505" s="61" t="n">
        <v>-85574763730</v>
      </c>
      <c r="H505" s="13" t="s">
        <v>1435</v>
      </c>
      <c r="I505" s="13"/>
      <c r="J505" s="13" t="s">
        <v>1465</v>
      </c>
      <c r="K505" s="13" t="s">
        <v>606</v>
      </c>
      <c r="L505" s="13" t="s">
        <v>1443</v>
      </c>
      <c r="M505" s="13"/>
    </row>
    <row r="506" customFormat="false" ht="15" hidden="false" customHeight="false" outlineLevel="0" collapsed="false">
      <c r="A506" s="13" t="s">
        <v>595</v>
      </c>
      <c r="B506" s="13" t="s">
        <v>594</v>
      </c>
      <c r="C506" s="13" t="s">
        <v>1444</v>
      </c>
      <c r="D506" s="13" t="s">
        <v>61</v>
      </c>
      <c r="E506" s="13" t="s">
        <v>848</v>
      </c>
      <c r="F506" s="13" t="s">
        <v>849</v>
      </c>
      <c r="G506" s="61" t="n">
        <v>-82138957516</v>
      </c>
      <c r="H506" s="13" t="s">
        <v>1435</v>
      </c>
      <c r="I506" s="13"/>
      <c r="J506" s="13" t="s">
        <v>1466</v>
      </c>
      <c r="K506" s="13" t="s">
        <v>607</v>
      </c>
      <c r="L506" s="13" t="s">
        <v>1443</v>
      </c>
      <c r="M506" s="13"/>
    </row>
    <row r="507" customFormat="false" ht="15" hidden="false" customHeight="false" outlineLevel="0" collapsed="false">
      <c r="A507" s="13" t="s">
        <v>595</v>
      </c>
      <c r="B507" s="13" t="s">
        <v>594</v>
      </c>
      <c r="C507" s="13" t="s">
        <v>1446</v>
      </c>
      <c r="D507" s="13" t="s">
        <v>61</v>
      </c>
      <c r="E507" s="13" t="s">
        <v>848</v>
      </c>
      <c r="F507" s="13" t="s">
        <v>849</v>
      </c>
      <c r="G507" s="61" t="n">
        <v>-80360564102</v>
      </c>
      <c r="H507" s="13" t="s">
        <v>1435</v>
      </c>
      <c r="I507" s="13"/>
      <c r="J507" s="13" t="s">
        <v>1467</v>
      </c>
      <c r="K507" s="13" t="s">
        <v>608</v>
      </c>
      <c r="L507" s="13" t="s">
        <v>1443</v>
      </c>
      <c r="M507" s="13"/>
    </row>
    <row r="508" customFormat="false" ht="15" hidden="false" customHeight="false" outlineLevel="0" collapsed="false">
      <c r="A508" s="13" t="s">
        <v>595</v>
      </c>
      <c r="B508" s="13" t="s">
        <v>594</v>
      </c>
      <c r="C508" s="13" t="s">
        <v>1448</v>
      </c>
      <c r="D508" s="13" t="s">
        <v>61</v>
      </c>
      <c r="E508" s="13" t="s">
        <v>848</v>
      </c>
      <c r="F508" s="13" t="s">
        <v>849</v>
      </c>
      <c r="G508" s="61" t="n">
        <v>-70273454714</v>
      </c>
      <c r="H508" s="13" t="s">
        <v>1435</v>
      </c>
      <c r="I508" s="13"/>
      <c r="J508" s="13" t="s">
        <v>1468</v>
      </c>
      <c r="K508" s="13" t="s">
        <v>609</v>
      </c>
      <c r="L508" s="13" t="s">
        <v>1443</v>
      </c>
      <c r="M508" s="13"/>
    </row>
    <row r="509" customFormat="false" ht="15" hidden="false" customHeight="false" outlineLevel="0" collapsed="false">
      <c r="A509" s="13" t="s">
        <v>595</v>
      </c>
      <c r="B509" s="13" t="s">
        <v>594</v>
      </c>
      <c r="C509" s="13" t="s">
        <v>1434</v>
      </c>
      <c r="D509" s="13" t="s">
        <v>61</v>
      </c>
      <c r="E509" s="13" t="s">
        <v>851</v>
      </c>
      <c r="F509" s="13" t="s">
        <v>852</v>
      </c>
      <c r="G509" s="61" t="n">
        <v>-260966152</v>
      </c>
      <c r="H509" s="13" t="s">
        <v>1435</v>
      </c>
      <c r="I509" s="13"/>
      <c r="J509" s="13" t="s">
        <v>1464</v>
      </c>
      <c r="K509" s="13" t="s">
        <v>1437</v>
      </c>
      <c r="L509" s="13" t="s">
        <v>1438</v>
      </c>
      <c r="M509" s="13"/>
    </row>
    <row r="510" customFormat="false" ht="15" hidden="false" customHeight="false" outlineLevel="0" collapsed="false">
      <c r="A510" s="13" t="s">
        <v>595</v>
      </c>
      <c r="B510" s="13" t="s">
        <v>594</v>
      </c>
      <c r="C510" s="13" t="s">
        <v>1439</v>
      </c>
      <c r="D510" s="13" t="s">
        <v>61</v>
      </c>
      <c r="E510" s="13" t="s">
        <v>851</v>
      </c>
      <c r="F510" s="13" t="s">
        <v>852</v>
      </c>
      <c r="G510" s="61" t="n">
        <v>-1901091820</v>
      </c>
      <c r="H510" s="13" t="s">
        <v>1435</v>
      </c>
      <c r="I510" s="13"/>
      <c r="J510" s="13" t="s">
        <v>1465</v>
      </c>
      <c r="K510" s="13" t="s">
        <v>1441</v>
      </c>
      <c r="L510" s="13" t="s">
        <v>1438</v>
      </c>
      <c r="M510" s="13"/>
    </row>
    <row r="511" customFormat="false" ht="15" hidden="false" customHeight="false" outlineLevel="0" collapsed="false">
      <c r="A511" s="13" t="s">
        <v>595</v>
      </c>
      <c r="B511" s="13" t="s">
        <v>594</v>
      </c>
      <c r="C511" s="13" t="s">
        <v>1442</v>
      </c>
      <c r="D511" s="13" t="s">
        <v>61</v>
      </c>
      <c r="E511" s="13" t="s">
        <v>851</v>
      </c>
      <c r="F511" s="13" t="s">
        <v>852</v>
      </c>
      <c r="G511" s="61" t="n">
        <v>-2559932092</v>
      </c>
      <c r="H511" s="13" t="s">
        <v>1435</v>
      </c>
      <c r="I511" s="13"/>
      <c r="J511" s="13" t="s">
        <v>1465</v>
      </c>
      <c r="K511" s="13" t="s">
        <v>606</v>
      </c>
      <c r="L511" s="13" t="s">
        <v>1443</v>
      </c>
      <c r="M511" s="13"/>
    </row>
    <row r="512" customFormat="false" ht="15" hidden="false" customHeight="false" outlineLevel="0" collapsed="false">
      <c r="A512" s="13" t="s">
        <v>595</v>
      </c>
      <c r="B512" s="13" t="s">
        <v>594</v>
      </c>
      <c r="C512" s="13" t="s">
        <v>1444</v>
      </c>
      <c r="D512" s="13" t="s">
        <v>61</v>
      </c>
      <c r="E512" s="13" t="s">
        <v>851</v>
      </c>
      <c r="F512" s="13" t="s">
        <v>852</v>
      </c>
      <c r="G512" s="61" t="n">
        <v>-1324820904</v>
      </c>
      <c r="H512" s="13" t="s">
        <v>1435</v>
      </c>
      <c r="I512" s="13"/>
      <c r="J512" s="13" t="s">
        <v>1466</v>
      </c>
      <c r="K512" s="13" t="s">
        <v>607</v>
      </c>
      <c r="L512" s="13" t="s">
        <v>1443</v>
      </c>
      <c r="M512" s="13"/>
    </row>
    <row r="513" customFormat="false" ht="15" hidden="false" customHeight="false" outlineLevel="0" collapsed="false">
      <c r="A513" s="13" t="s">
        <v>595</v>
      </c>
      <c r="B513" s="13" t="s">
        <v>594</v>
      </c>
      <c r="C513" s="13" t="s">
        <v>1446</v>
      </c>
      <c r="D513" s="13" t="s">
        <v>61</v>
      </c>
      <c r="E513" s="13" t="s">
        <v>851</v>
      </c>
      <c r="F513" s="13" t="s">
        <v>852</v>
      </c>
      <c r="G513" s="61" t="n">
        <v>-4399544199</v>
      </c>
      <c r="H513" s="13" t="s">
        <v>1435</v>
      </c>
      <c r="I513" s="13"/>
      <c r="J513" s="13" t="s">
        <v>1467</v>
      </c>
      <c r="K513" s="13" t="s">
        <v>608</v>
      </c>
      <c r="L513" s="13" t="s">
        <v>1443</v>
      </c>
      <c r="M513" s="13"/>
    </row>
    <row r="514" customFormat="false" ht="15" hidden="false" customHeight="false" outlineLevel="0" collapsed="false">
      <c r="A514" s="13" t="s">
        <v>595</v>
      </c>
      <c r="B514" s="13" t="s">
        <v>594</v>
      </c>
      <c r="C514" s="13" t="s">
        <v>1448</v>
      </c>
      <c r="D514" s="13" t="s">
        <v>61</v>
      </c>
      <c r="E514" s="13" t="s">
        <v>851</v>
      </c>
      <c r="F514" s="13" t="s">
        <v>852</v>
      </c>
      <c r="G514" s="61" t="n">
        <v>-4674353832</v>
      </c>
      <c r="H514" s="13" t="s">
        <v>1435</v>
      </c>
      <c r="I514" s="13"/>
      <c r="J514" s="13" t="s">
        <v>1468</v>
      </c>
      <c r="K514" s="13" t="s">
        <v>609</v>
      </c>
      <c r="L514" s="13" t="s">
        <v>1443</v>
      </c>
      <c r="M514" s="13"/>
    </row>
    <row r="515" customFormat="false" ht="15" hidden="false" customHeight="false" outlineLevel="0" collapsed="false">
      <c r="A515" s="13" t="s">
        <v>595</v>
      </c>
      <c r="B515" s="13" t="s">
        <v>594</v>
      </c>
      <c r="C515" s="13" t="s">
        <v>1434</v>
      </c>
      <c r="D515" s="13" t="s">
        <v>61</v>
      </c>
      <c r="E515" s="13" t="s">
        <v>854</v>
      </c>
      <c r="F515" s="13" t="s">
        <v>855</v>
      </c>
      <c r="G515" s="61" t="n">
        <v>50302794090</v>
      </c>
      <c r="H515" s="13" t="s">
        <v>1435</v>
      </c>
      <c r="I515" s="13"/>
      <c r="J515" s="13"/>
      <c r="K515" s="13" t="s">
        <v>1437</v>
      </c>
      <c r="L515" s="13" t="s">
        <v>1438</v>
      </c>
      <c r="M515" s="13" t="s">
        <v>1450</v>
      </c>
    </row>
    <row r="516" customFormat="false" ht="15" hidden="false" customHeight="false" outlineLevel="0" collapsed="false">
      <c r="A516" s="13" t="s">
        <v>595</v>
      </c>
      <c r="B516" s="13" t="s">
        <v>594</v>
      </c>
      <c r="C516" s="13" t="s">
        <v>1439</v>
      </c>
      <c r="D516" s="13" t="s">
        <v>61</v>
      </c>
      <c r="E516" s="13" t="s">
        <v>854</v>
      </c>
      <c r="F516" s="13" t="s">
        <v>855</v>
      </c>
      <c r="G516" s="61" t="n">
        <v>47129089642</v>
      </c>
      <c r="H516" s="13" t="s">
        <v>1435</v>
      </c>
      <c r="I516" s="13"/>
      <c r="J516" s="13"/>
      <c r="K516" s="13" t="s">
        <v>1441</v>
      </c>
      <c r="L516" s="13" t="s">
        <v>1438</v>
      </c>
      <c r="M516" s="13" t="s">
        <v>1450</v>
      </c>
    </row>
    <row r="517" customFormat="false" ht="15" hidden="false" customHeight="false" outlineLevel="0" collapsed="false">
      <c r="A517" s="13" t="s">
        <v>595</v>
      </c>
      <c r="B517" s="13" t="s">
        <v>594</v>
      </c>
      <c r="C517" s="13" t="s">
        <v>1442</v>
      </c>
      <c r="D517" s="13" t="s">
        <v>61</v>
      </c>
      <c r="E517" s="13" t="s">
        <v>854</v>
      </c>
      <c r="F517" s="13" t="s">
        <v>855</v>
      </c>
      <c r="G517" s="61" t="n">
        <v>-48836369112</v>
      </c>
      <c r="H517" s="13" t="s">
        <v>1435</v>
      </c>
      <c r="I517" s="13"/>
      <c r="J517" s="13"/>
      <c r="K517" s="13" t="s">
        <v>606</v>
      </c>
      <c r="L517" s="13" t="s">
        <v>1443</v>
      </c>
      <c r="M517" s="13" t="s">
        <v>1450</v>
      </c>
    </row>
    <row r="518" customFormat="false" ht="15" hidden="false" customHeight="false" outlineLevel="0" collapsed="false">
      <c r="A518" s="13" t="s">
        <v>595</v>
      </c>
      <c r="B518" s="13" t="s">
        <v>594</v>
      </c>
      <c r="C518" s="13" t="s">
        <v>1444</v>
      </c>
      <c r="D518" s="13" t="s">
        <v>61</v>
      </c>
      <c r="E518" s="13" t="s">
        <v>854</v>
      </c>
      <c r="F518" s="13" t="s">
        <v>855</v>
      </c>
      <c r="G518" s="61" t="n">
        <v>-83033264168</v>
      </c>
      <c r="H518" s="13" t="s">
        <v>1435</v>
      </c>
      <c r="I518" s="13"/>
      <c r="J518" s="13"/>
      <c r="K518" s="13" t="s">
        <v>607</v>
      </c>
      <c r="L518" s="13" t="s">
        <v>1443</v>
      </c>
      <c r="M518" s="13" t="s">
        <v>1450</v>
      </c>
    </row>
    <row r="519" customFormat="false" ht="15" hidden="false" customHeight="false" outlineLevel="0" collapsed="false">
      <c r="A519" s="13" t="s">
        <v>595</v>
      </c>
      <c r="B519" s="13" t="s">
        <v>594</v>
      </c>
      <c r="C519" s="13" t="s">
        <v>1446</v>
      </c>
      <c r="D519" s="13" t="s">
        <v>61</v>
      </c>
      <c r="E519" s="13" t="s">
        <v>854</v>
      </c>
      <c r="F519" s="13" t="s">
        <v>855</v>
      </c>
      <c r="G519" s="61" t="n">
        <v>-113011184320</v>
      </c>
      <c r="H519" s="13" t="s">
        <v>1435</v>
      </c>
      <c r="I519" s="13"/>
      <c r="J519" s="13"/>
      <c r="K519" s="13" t="s">
        <v>608</v>
      </c>
      <c r="L519" s="13" t="s">
        <v>1443</v>
      </c>
      <c r="M519" s="13" t="s">
        <v>1450</v>
      </c>
    </row>
    <row r="520" customFormat="false" ht="15" hidden="false" customHeight="false" outlineLevel="0" collapsed="false">
      <c r="A520" s="13" t="s">
        <v>595</v>
      </c>
      <c r="B520" s="13" t="s">
        <v>594</v>
      </c>
      <c r="C520" s="13" t="s">
        <v>1448</v>
      </c>
      <c r="D520" s="13" t="s">
        <v>61</v>
      </c>
      <c r="E520" s="13" t="s">
        <v>854</v>
      </c>
      <c r="F520" s="13" t="s">
        <v>855</v>
      </c>
      <c r="G520" s="61" t="n">
        <v>45886904636</v>
      </c>
      <c r="H520" s="13" t="s">
        <v>1435</v>
      </c>
      <c r="I520" s="13"/>
      <c r="J520" s="13"/>
      <c r="K520" s="13" t="s">
        <v>609</v>
      </c>
      <c r="L520" s="13" t="s">
        <v>1443</v>
      </c>
      <c r="M520" s="13" t="s">
        <v>1450</v>
      </c>
    </row>
    <row r="521" customFormat="false" ht="15" hidden="false" customHeight="false" outlineLevel="0" collapsed="false">
      <c r="A521" s="13" t="s">
        <v>595</v>
      </c>
      <c r="B521" s="13" t="s">
        <v>594</v>
      </c>
      <c r="C521" s="13" t="s">
        <v>1439</v>
      </c>
      <c r="D521" s="13" t="s">
        <v>61</v>
      </c>
      <c r="E521" s="13" t="s">
        <v>856</v>
      </c>
      <c r="F521" s="13" t="s">
        <v>857</v>
      </c>
      <c r="G521" s="61" t="n">
        <v>0</v>
      </c>
      <c r="H521" s="13" t="s">
        <v>1435</v>
      </c>
      <c r="I521" s="13"/>
      <c r="J521" s="13" t="s">
        <v>1465</v>
      </c>
      <c r="K521" s="13" t="s">
        <v>1441</v>
      </c>
      <c r="L521" s="13" t="s">
        <v>1438</v>
      </c>
      <c r="M521" s="13"/>
    </row>
    <row r="522" customFormat="false" ht="15" hidden="false" customHeight="false" outlineLevel="0" collapsed="false">
      <c r="A522" s="13" t="s">
        <v>595</v>
      </c>
      <c r="B522" s="13" t="s">
        <v>594</v>
      </c>
      <c r="C522" s="13" t="s">
        <v>1442</v>
      </c>
      <c r="D522" s="13" t="s">
        <v>61</v>
      </c>
      <c r="E522" s="13" t="s">
        <v>856</v>
      </c>
      <c r="F522" s="13" t="s">
        <v>857</v>
      </c>
      <c r="G522" s="61" t="n">
        <v>225800000</v>
      </c>
      <c r="H522" s="13" t="s">
        <v>1435</v>
      </c>
      <c r="I522" s="13"/>
      <c r="J522" s="13" t="s">
        <v>1465</v>
      </c>
      <c r="K522" s="13" t="s">
        <v>606</v>
      </c>
      <c r="L522" s="13" t="s">
        <v>1443</v>
      </c>
      <c r="M522" s="13"/>
    </row>
    <row r="523" customFormat="false" ht="15" hidden="false" customHeight="false" outlineLevel="0" collapsed="false">
      <c r="A523" s="13" t="s">
        <v>595</v>
      </c>
      <c r="B523" s="13" t="s">
        <v>594</v>
      </c>
      <c r="C523" s="13" t="s">
        <v>1444</v>
      </c>
      <c r="D523" s="13" t="s">
        <v>61</v>
      </c>
      <c r="E523" s="13" t="s">
        <v>856</v>
      </c>
      <c r="F523" s="13" t="s">
        <v>857</v>
      </c>
      <c r="G523" s="61" t="n">
        <v>0</v>
      </c>
      <c r="H523" s="13" t="s">
        <v>1435</v>
      </c>
      <c r="I523" s="13"/>
      <c r="J523" s="13" t="s">
        <v>1466</v>
      </c>
      <c r="K523" s="13" t="s">
        <v>607</v>
      </c>
      <c r="L523" s="13" t="s">
        <v>1443</v>
      </c>
      <c r="M523" s="13"/>
    </row>
    <row r="524" customFormat="false" ht="15" hidden="false" customHeight="false" outlineLevel="0" collapsed="false">
      <c r="A524" s="13" t="s">
        <v>595</v>
      </c>
      <c r="B524" s="13" t="s">
        <v>594</v>
      </c>
      <c r="C524" s="13" t="s">
        <v>1446</v>
      </c>
      <c r="D524" s="13" t="s">
        <v>61</v>
      </c>
      <c r="E524" s="13" t="s">
        <v>856</v>
      </c>
      <c r="F524" s="13" t="s">
        <v>857</v>
      </c>
      <c r="G524" s="61" t="n">
        <v>178083594007</v>
      </c>
      <c r="H524" s="13" t="s">
        <v>1435</v>
      </c>
      <c r="I524" s="13"/>
      <c r="J524" s="13" t="s">
        <v>1467</v>
      </c>
      <c r="K524" s="13" t="s">
        <v>608</v>
      </c>
      <c r="L524" s="13" t="s">
        <v>1443</v>
      </c>
      <c r="M524" s="13"/>
    </row>
    <row r="525" customFormat="false" ht="15" hidden="false" customHeight="false" outlineLevel="0" collapsed="false">
      <c r="A525" s="13" t="s">
        <v>595</v>
      </c>
      <c r="B525" s="13" t="s">
        <v>594</v>
      </c>
      <c r="C525" s="13" t="s">
        <v>1448</v>
      </c>
      <c r="D525" s="13" t="s">
        <v>61</v>
      </c>
      <c r="E525" s="13" t="s">
        <v>856</v>
      </c>
      <c r="F525" s="13" t="s">
        <v>857</v>
      </c>
      <c r="G525" s="61" t="n">
        <v>50159355</v>
      </c>
      <c r="H525" s="13" t="s">
        <v>1435</v>
      </c>
      <c r="I525" s="13"/>
      <c r="J525" s="13" t="s">
        <v>1468</v>
      </c>
      <c r="K525" s="13" t="s">
        <v>609</v>
      </c>
      <c r="L525" s="13" t="s">
        <v>1443</v>
      </c>
      <c r="M525" s="13"/>
    </row>
    <row r="526" customFormat="false" ht="15" hidden="false" customHeight="false" outlineLevel="0" collapsed="false">
      <c r="A526" s="13" t="s">
        <v>595</v>
      </c>
      <c r="B526" s="13" t="s">
        <v>594</v>
      </c>
      <c r="C526" s="13" t="s">
        <v>1446</v>
      </c>
      <c r="D526" s="13" t="s">
        <v>61</v>
      </c>
      <c r="E526" s="13" t="s">
        <v>859</v>
      </c>
      <c r="F526" s="13" t="s">
        <v>860</v>
      </c>
      <c r="G526" s="61" t="n">
        <v>-94627467543</v>
      </c>
      <c r="H526" s="13" t="s">
        <v>1435</v>
      </c>
      <c r="I526" s="13"/>
      <c r="J526" s="13" t="s">
        <v>1467</v>
      </c>
      <c r="K526" s="13" t="s">
        <v>608</v>
      </c>
      <c r="L526" s="13" t="s">
        <v>1443</v>
      </c>
      <c r="M526" s="13"/>
    </row>
    <row r="527" customFormat="false" ht="15" hidden="false" customHeight="false" outlineLevel="0" collapsed="false">
      <c r="A527" s="13" t="s">
        <v>595</v>
      </c>
      <c r="B527" s="13" t="s">
        <v>594</v>
      </c>
      <c r="C527" s="13" t="s">
        <v>1448</v>
      </c>
      <c r="D527" s="13" t="s">
        <v>61</v>
      </c>
      <c r="E527" s="13" t="s">
        <v>859</v>
      </c>
      <c r="F527" s="13" t="s">
        <v>860</v>
      </c>
      <c r="G527" s="61" t="n">
        <v>0</v>
      </c>
      <c r="H527" s="13" t="s">
        <v>1435</v>
      </c>
      <c r="I527" s="13"/>
      <c r="J527" s="13" t="s">
        <v>1468</v>
      </c>
      <c r="K527" s="13" t="s">
        <v>609</v>
      </c>
      <c r="L527" s="13" t="s">
        <v>1443</v>
      </c>
      <c r="M527" s="13"/>
    </row>
    <row r="528" customFormat="false" ht="15" hidden="false" customHeight="false" outlineLevel="0" collapsed="false">
      <c r="A528" s="13" t="s">
        <v>595</v>
      </c>
      <c r="B528" s="13" t="s">
        <v>594</v>
      </c>
      <c r="C528" s="13" t="s">
        <v>1434</v>
      </c>
      <c r="D528" s="13" t="s">
        <v>61</v>
      </c>
      <c r="E528" s="13" t="s">
        <v>862</v>
      </c>
      <c r="F528" s="13" t="s">
        <v>863</v>
      </c>
      <c r="G528" s="61" t="n">
        <v>0</v>
      </c>
      <c r="H528" s="13" t="s">
        <v>1435</v>
      </c>
      <c r="I528" s="13"/>
      <c r="J528" s="13" t="s">
        <v>1464</v>
      </c>
      <c r="K528" s="13" t="s">
        <v>1437</v>
      </c>
      <c r="L528" s="13" t="s">
        <v>1438</v>
      </c>
      <c r="M528" s="13"/>
    </row>
    <row r="529" customFormat="false" ht="15" hidden="false" customHeight="false" outlineLevel="0" collapsed="false">
      <c r="A529" s="13" t="s">
        <v>595</v>
      </c>
      <c r="B529" s="13" t="s">
        <v>594</v>
      </c>
      <c r="C529" s="13" t="s">
        <v>1439</v>
      </c>
      <c r="D529" s="13" t="s">
        <v>61</v>
      </c>
      <c r="E529" s="13" t="s">
        <v>862</v>
      </c>
      <c r="F529" s="13" t="s">
        <v>863</v>
      </c>
      <c r="G529" s="61" t="n">
        <v>91597100</v>
      </c>
      <c r="H529" s="13" t="s">
        <v>1435</v>
      </c>
      <c r="I529" s="13"/>
      <c r="J529" s="13" t="s">
        <v>1465</v>
      </c>
      <c r="K529" s="13" t="s">
        <v>1441</v>
      </c>
      <c r="L529" s="13" t="s">
        <v>1438</v>
      </c>
      <c r="M529" s="13"/>
    </row>
    <row r="530" customFormat="false" ht="15" hidden="false" customHeight="false" outlineLevel="0" collapsed="false">
      <c r="A530" s="13" t="s">
        <v>595</v>
      </c>
      <c r="B530" s="13" t="s">
        <v>594</v>
      </c>
      <c r="C530" s="13" t="s">
        <v>1442</v>
      </c>
      <c r="D530" s="13" t="s">
        <v>61</v>
      </c>
      <c r="E530" s="13" t="s">
        <v>862</v>
      </c>
      <c r="F530" s="13" t="s">
        <v>863</v>
      </c>
      <c r="G530" s="61" t="n">
        <v>55000000</v>
      </c>
      <c r="H530" s="13" t="s">
        <v>1435</v>
      </c>
      <c r="I530" s="13"/>
      <c r="J530" s="13" t="s">
        <v>1465</v>
      </c>
      <c r="K530" s="13" t="s">
        <v>606</v>
      </c>
      <c r="L530" s="13" t="s">
        <v>1443</v>
      </c>
      <c r="M530" s="13"/>
    </row>
    <row r="531" customFormat="false" ht="15" hidden="false" customHeight="false" outlineLevel="0" collapsed="false">
      <c r="A531" s="13" t="s">
        <v>595</v>
      </c>
      <c r="B531" s="13" t="s">
        <v>594</v>
      </c>
      <c r="C531" s="13" t="s">
        <v>1444</v>
      </c>
      <c r="D531" s="13" t="s">
        <v>61</v>
      </c>
      <c r="E531" s="13" t="s">
        <v>862</v>
      </c>
      <c r="F531" s="13" t="s">
        <v>863</v>
      </c>
      <c r="G531" s="61" t="n">
        <v>72000000</v>
      </c>
      <c r="H531" s="13" t="s">
        <v>1435</v>
      </c>
      <c r="I531" s="13"/>
      <c r="J531" s="13" t="s">
        <v>1466</v>
      </c>
      <c r="K531" s="13" t="s">
        <v>607</v>
      </c>
      <c r="L531" s="13" t="s">
        <v>1443</v>
      </c>
      <c r="M531" s="13"/>
    </row>
    <row r="532" customFormat="false" ht="15" hidden="false" customHeight="false" outlineLevel="0" collapsed="false">
      <c r="A532" s="13" t="s">
        <v>595</v>
      </c>
      <c r="B532" s="13" t="s">
        <v>594</v>
      </c>
      <c r="C532" s="13" t="s">
        <v>1446</v>
      </c>
      <c r="D532" s="13" t="s">
        <v>61</v>
      </c>
      <c r="E532" s="13" t="s">
        <v>862</v>
      </c>
      <c r="F532" s="13" t="s">
        <v>863</v>
      </c>
      <c r="G532" s="61" t="n">
        <v>0</v>
      </c>
      <c r="H532" s="13" t="s">
        <v>1435</v>
      </c>
      <c r="I532" s="13"/>
      <c r="J532" s="13" t="s">
        <v>1467</v>
      </c>
      <c r="K532" s="13" t="s">
        <v>608</v>
      </c>
      <c r="L532" s="13" t="s">
        <v>1443</v>
      </c>
      <c r="M532" s="13"/>
    </row>
    <row r="533" customFormat="false" ht="15" hidden="false" customHeight="false" outlineLevel="0" collapsed="false">
      <c r="A533" s="13" t="s">
        <v>595</v>
      </c>
      <c r="B533" s="13" t="s">
        <v>594</v>
      </c>
      <c r="C533" s="13" t="s">
        <v>1434</v>
      </c>
      <c r="D533" s="13" t="s">
        <v>61</v>
      </c>
      <c r="E533" s="13" t="s">
        <v>865</v>
      </c>
      <c r="F533" s="13" t="s">
        <v>866</v>
      </c>
      <c r="G533" s="61" t="n">
        <v>20000000000</v>
      </c>
      <c r="H533" s="13" t="s">
        <v>1435</v>
      </c>
      <c r="I533" s="13"/>
      <c r="J533" s="13" t="s">
        <v>1464</v>
      </c>
      <c r="K533" s="13" t="s">
        <v>1437</v>
      </c>
      <c r="L533" s="13" t="s">
        <v>1438</v>
      </c>
      <c r="M533" s="13"/>
    </row>
    <row r="534" customFormat="false" ht="15" hidden="false" customHeight="false" outlineLevel="0" collapsed="false">
      <c r="A534" s="13" t="s">
        <v>595</v>
      </c>
      <c r="B534" s="13" t="s">
        <v>594</v>
      </c>
      <c r="C534" s="13" t="s">
        <v>1439</v>
      </c>
      <c r="D534" s="13" t="s">
        <v>61</v>
      </c>
      <c r="E534" s="13" t="s">
        <v>865</v>
      </c>
      <c r="F534" s="13" t="s">
        <v>866</v>
      </c>
      <c r="G534" s="61" t="n">
        <v>200000000000</v>
      </c>
      <c r="H534" s="13" t="s">
        <v>1435</v>
      </c>
      <c r="I534" s="13"/>
      <c r="J534" s="13" t="s">
        <v>1465</v>
      </c>
      <c r="K534" s="13" t="s">
        <v>1441</v>
      </c>
      <c r="L534" s="13" t="s">
        <v>1438</v>
      </c>
      <c r="M534" s="13"/>
    </row>
    <row r="535" customFormat="false" ht="15" hidden="false" customHeight="false" outlineLevel="0" collapsed="false">
      <c r="A535" s="13" t="s">
        <v>595</v>
      </c>
      <c r="B535" s="13" t="s">
        <v>594</v>
      </c>
      <c r="C535" s="13" t="s">
        <v>1442</v>
      </c>
      <c r="D535" s="13" t="s">
        <v>61</v>
      </c>
      <c r="E535" s="13" t="s">
        <v>865</v>
      </c>
      <c r="F535" s="13" t="s">
        <v>866</v>
      </c>
      <c r="G535" s="61" t="n">
        <v>650000000000</v>
      </c>
      <c r="H535" s="13" t="s">
        <v>1435</v>
      </c>
      <c r="I535" s="13"/>
      <c r="J535" s="13" t="s">
        <v>1465</v>
      </c>
      <c r="K535" s="13" t="s">
        <v>606</v>
      </c>
      <c r="L535" s="13" t="s">
        <v>1443</v>
      </c>
      <c r="M535" s="13"/>
    </row>
    <row r="536" customFormat="false" ht="15" hidden="false" customHeight="false" outlineLevel="0" collapsed="false">
      <c r="A536" s="13" t="s">
        <v>595</v>
      </c>
      <c r="B536" s="13" t="s">
        <v>594</v>
      </c>
      <c r="C536" s="13" t="s">
        <v>1444</v>
      </c>
      <c r="D536" s="13" t="s">
        <v>61</v>
      </c>
      <c r="E536" s="13" t="s">
        <v>865</v>
      </c>
      <c r="F536" s="13" t="s">
        <v>866</v>
      </c>
      <c r="G536" s="61" t="n">
        <v>100000000000</v>
      </c>
      <c r="H536" s="13" t="s">
        <v>1435</v>
      </c>
      <c r="I536" s="13"/>
      <c r="J536" s="13" t="s">
        <v>1466</v>
      </c>
      <c r="K536" s="13" t="s">
        <v>607</v>
      </c>
      <c r="L536" s="13" t="s">
        <v>1443</v>
      </c>
      <c r="M536" s="13"/>
    </row>
    <row r="537" customFormat="false" ht="15" hidden="false" customHeight="false" outlineLevel="0" collapsed="false">
      <c r="A537" s="13" t="s">
        <v>595</v>
      </c>
      <c r="B537" s="13" t="s">
        <v>594</v>
      </c>
      <c r="C537" s="13" t="s">
        <v>1446</v>
      </c>
      <c r="D537" s="13" t="s">
        <v>61</v>
      </c>
      <c r="E537" s="13" t="s">
        <v>865</v>
      </c>
      <c r="F537" s="13" t="s">
        <v>866</v>
      </c>
      <c r="G537" s="61" t="n">
        <v>229000000000</v>
      </c>
      <c r="H537" s="13" t="s">
        <v>1435</v>
      </c>
      <c r="I537" s="13"/>
      <c r="J537" s="13" t="s">
        <v>1467</v>
      </c>
      <c r="K537" s="13" t="s">
        <v>608</v>
      </c>
      <c r="L537" s="13" t="s">
        <v>1443</v>
      </c>
      <c r="M537" s="13"/>
    </row>
    <row r="538" customFormat="false" ht="15" hidden="false" customHeight="false" outlineLevel="0" collapsed="false">
      <c r="A538" s="13" t="s">
        <v>595</v>
      </c>
      <c r="B538" s="13" t="s">
        <v>594</v>
      </c>
      <c r="C538" s="13" t="s">
        <v>1448</v>
      </c>
      <c r="D538" s="13" t="s">
        <v>61</v>
      </c>
      <c r="E538" s="13" t="s">
        <v>865</v>
      </c>
      <c r="F538" s="13" t="s">
        <v>866</v>
      </c>
      <c r="G538" s="61" t="n">
        <v>43000000000</v>
      </c>
      <c r="H538" s="13" t="s">
        <v>1435</v>
      </c>
      <c r="I538" s="13"/>
      <c r="J538" s="13" t="s">
        <v>1468</v>
      </c>
      <c r="K538" s="13" t="s">
        <v>609</v>
      </c>
      <c r="L538" s="13" t="s">
        <v>1443</v>
      </c>
      <c r="M538" s="13"/>
    </row>
    <row r="539" customFormat="false" ht="15" hidden="false" customHeight="false" outlineLevel="0" collapsed="false">
      <c r="A539" s="13" t="s">
        <v>595</v>
      </c>
      <c r="B539" s="13" t="s">
        <v>594</v>
      </c>
      <c r="C539" s="13" t="s">
        <v>1434</v>
      </c>
      <c r="D539" s="13" t="s">
        <v>61</v>
      </c>
      <c r="E539" s="13" t="s">
        <v>868</v>
      </c>
      <c r="F539" s="13" t="s">
        <v>869</v>
      </c>
      <c r="G539" s="61" t="n">
        <v>0</v>
      </c>
      <c r="H539" s="13" t="s">
        <v>1435</v>
      </c>
      <c r="I539" s="13"/>
      <c r="J539" s="13" t="s">
        <v>1464</v>
      </c>
      <c r="K539" s="13" t="s">
        <v>1437</v>
      </c>
      <c r="L539" s="13" t="s">
        <v>1438</v>
      </c>
      <c r="M539" s="13"/>
    </row>
    <row r="540" customFormat="false" ht="15" hidden="false" customHeight="false" outlineLevel="0" collapsed="false">
      <c r="A540" s="13" t="s">
        <v>595</v>
      </c>
      <c r="B540" s="13" t="s">
        <v>594</v>
      </c>
      <c r="C540" s="13" t="s">
        <v>1439</v>
      </c>
      <c r="D540" s="13" t="s">
        <v>61</v>
      </c>
      <c r="E540" s="13" t="s">
        <v>868</v>
      </c>
      <c r="F540" s="13" t="s">
        <v>869</v>
      </c>
      <c r="G540" s="61" t="n">
        <v>-650000000000</v>
      </c>
      <c r="H540" s="13" t="s">
        <v>1435</v>
      </c>
      <c r="I540" s="13"/>
      <c r="J540" s="13" t="s">
        <v>1465</v>
      </c>
      <c r="K540" s="13" t="s">
        <v>1441</v>
      </c>
      <c r="L540" s="13" t="s">
        <v>1438</v>
      </c>
      <c r="M540" s="13"/>
    </row>
    <row r="541" customFormat="false" ht="15" hidden="false" customHeight="false" outlineLevel="0" collapsed="false">
      <c r="A541" s="13" t="s">
        <v>595</v>
      </c>
      <c r="B541" s="13" t="s">
        <v>594</v>
      </c>
      <c r="C541" s="13" t="s">
        <v>1442</v>
      </c>
      <c r="D541" s="13" t="s">
        <v>61</v>
      </c>
      <c r="E541" s="13" t="s">
        <v>868</v>
      </c>
      <c r="F541" s="13" t="s">
        <v>869</v>
      </c>
      <c r="G541" s="61" t="n">
        <v>-320000000000</v>
      </c>
      <c r="H541" s="13" t="s">
        <v>1435</v>
      </c>
      <c r="I541" s="13"/>
      <c r="J541" s="13" t="s">
        <v>1465</v>
      </c>
      <c r="K541" s="13" t="s">
        <v>606</v>
      </c>
      <c r="L541" s="13" t="s">
        <v>1443</v>
      </c>
      <c r="M541" s="13"/>
    </row>
    <row r="542" customFormat="false" ht="15" hidden="false" customHeight="false" outlineLevel="0" collapsed="false">
      <c r="A542" s="13" t="s">
        <v>595</v>
      </c>
      <c r="B542" s="13" t="s">
        <v>594</v>
      </c>
      <c r="C542" s="13" t="s">
        <v>1444</v>
      </c>
      <c r="D542" s="13" t="s">
        <v>61</v>
      </c>
      <c r="E542" s="13" t="s">
        <v>868</v>
      </c>
      <c r="F542" s="13" t="s">
        <v>869</v>
      </c>
      <c r="G542" s="61" t="n">
        <v>-9000000000</v>
      </c>
      <c r="H542" s="13" t="s">
        <v>1435</v>
      </c>
      <c r="I542" s="13"/>
      <c r="J542" s="13" t="s">
        <v>1466</v>
      </c>
      <c r="K542" s="13" t="s">
        <v>607</v>
      </c>
      <c r="L542" s="13" t="s">
        <v>1443</v>
      </c>
      <c r="M542" s="13"/>
    </row>
    <row r="543" customFormat="false" ht="15" hidden="false" customHeight="false" outlineLevel="0" collapsed="false">
      <c r="A543" s="13" t="s">
        <v>595</v>
      </c>
      <c r="B543" s="13" t="s">
        <v>594</v>
      </c>
      <c r="C543" s="13" t="s">
        <v>1446</v>
      </c>
      <c r="D543" s="13" t="s">
        <v>61</v>
      </c>
      <c r="E543" s="13" t="s">
        <v>868</v>
      </c>
      <c r="F543" s="13" t="s">
        <v>869</v>
      </c>
      <c r="G543" s="61" t="n">
        <v>-43000000000</v>
      </c>
      <c r="H543" s="13" t="s">
        <v>1435</v>
      </c>
      <c r="I543" s="13"/>
      <c r="J543" s="13" t="s">
        <v>1467</v>
      </c>
      <c r="K543" s="13" t="s">
        <v>608</v>
      </c>
      <c r="L543" s="13" t="s">
        <v>1443</v>
      </c>
      <c r="M543" s="13"/>
    </row>
    <row r="544" customFormat="false" ht="15" hidden="false" customHeight="false" outlineLevel="0" collapsed="false">
      <c r="A544" s="13" t="s">
        <v>595</v>
      </c>
      <c r="B544" s="13" t="s">
        <v>594</v>
      </c>
      <c r="C544" s="13" t="s">
        <v>1448</v>
      </c>
      <c r="D544" s="13" t="s">
        <v>61</v>
      </c>
      <c r="E544" s="13" t="s">
        <v>868</v>
      </c>
      <c r="F544" s="13" t="s">
        <v>869</v>
      </c>
      <c r="G544" s="61" t="n">
        <v>-50500000000</v>
      </c>
      <c r="H544" s="13" t="s">
        <v>1435</v>
      </c>
      <c r="I544" s="13"/>
      <c r="J544" s="13" t="s">
        <v>1468</v>
      </c>
      <c r="K544" s="13" t="s">
        <v>609</v>
      </c>
      <c r="L544" s="13" t="s">
        <v>1443</v>
      </c>
      <c r="M544" s="13"/>
    </row>
    <row r="545" customFormat="false" ht="15" hidden="false" customHeight="false" outlineLevel="0" collapsed="false">
      <c r="A545" s="13" t="s">
        <v>595</v>
      </c>
      <c r="B545" s="13" t="s">
        <v>594</v>
      </c>
      <c r="C545" s="13" t="s">
        <v>1434</v>
      </c>
      <c r="D545" s="13" t="s">
        <v>61</v>
      </c>
      <c r="E545" s="13" t="s">
        <v>871</v>
      </c>
      <c r="F545" s="13" t="s">
        <v>872</v>
      </c>
      <c r="G545" s="61" t="n">
        <v>-479146160590</v>
      </c>
      <c r="H545" s="13" t="s">
        <v>1435</v>
      </c>
      <c r="I545" s="13"/>
      <c r="J545" s="13" t="s">
        <v>1464</v>
      </c>
      <c r="K545" s="13" t="s">
        <v>1437</v>
      </c>
      <c r="L545" s="13" t="s">
        <v>1438</v>
      </c>
      <c r="M545" s="13"/>
    </row>
    <row r="546" customFormat="false" ht="15" hidden="false" customHeight="false" outlineLevel="0" collapsed="false">
      <c r="A546" s="13" t="s">
        <v>595</v>
      </c>
      <c r="B546" s="13" t="s">
        <v>594</v>
      </c>
      <c r="C546" s="13" t="s">
        <v>1439</v>
      </c>
      <c r="D546" s="13" t="s">
        <v>61</v>
      </c>
      <c r="E546" s="13" t="s">
        <v>871</v>
      </c>
      <c r="F546" s="13" t="s">
        <v>872</v>
      </c>
      <c r="G546" s="61" t="n">
        <v>-26276036375</v>
      </c>
      <c r="H546" s="13" t="s">
        <v>1435</v>
      </c>
      <c r="I546" s="13"/>
      <c r="J546" s="13" t="s">
        <v>1465</v>
      </c>
      <c r="K546" s="13" t="s">
        <v>1441</v>
      </c>
      <c r="L546" s="13" t="s">
        <v>1438</v>
      </c>
      <c r="M546" s="13"/>
    </row>
    <row r="547" customFormat="false" ht="15" hidden="false" customHeight="false" outlineLevel="0" collapsed="false">
      <c r="A547" s="13" t="s">
        <v>595</v>
      </c>
      <c r="B547" s="13" t="s">
        <v>594</v>
      </c>
      <c r="C547" s="13" t="s">
        <v>1442</v>
      </c>
      <c r="D547" s="13" t="s">
        <v>61</v>
      </c>
      <c r="E547" s="13" t="s">
        <v>871</v>
      </c>
      <c r="F547" s="13" t="s">
        <v>872</v>
      </c>
      <c r="G547" s="61" t="n">
        <v>-3656599877</v>
      </c>
      <c r="H547" s="13" t="s">
        <v>1435</v>
      </c>
      <c r="I547" s="13"/>
      <c r="J547" s="13" t="s">
        <v>1465</v>
      </c>
      <c r="K547" s="13" t="s">
        <v>606</v>
      </c>
      <c r="L547" s="13" t="s">
        <v>1443</v>
      </c>
      <c r="M547" s="13"/>
    </row>
    <row r="548" customFormat="false" ht="15" hidden="false" customHeight="false" outlineLevel="0" collapsed="false">
      <c r="A548" s="13" t="s">
        <v>595</v>
      </c>
      <c r="B548" s="13" t="s">
        <v>594</v>
      </c>
      <c r="C548" s="13" t="s">
        <v>1444</v>
      </c>
      <c r="D548" s="13" t="s">
        <v>61</v>
      </c>
      <c r="E548" s="13" t="s">
        <v>871</v>
      </c>
      <c r="F548" s="13" t="s">
        <v>872</v>
      </c>
      <c r="G548" s="61" t="n">
        <v>-1732920358</v>
      </c>
      <c r="H548" s="13" t="s">
        <v>1435</v>
      </c>
      <c r="I548" s="13"/>
      <c r="J548" s="13" t="s">
        <v>1466</v>
      </c>
      <c r="K548" s="13" t="s">
        <v>607</v>
      </c>
      <c r="L548" s="13" t="s">
        <v>1443</v>
      </c>
      <c r="M548" s="13"/>
    </row>
    <row r="549" customFormat="false" ht="15" hidden="false" customHeight="false" outlineLevel="0" collapsed="false">
      <c r="A549" s="13" t="s">
        <v>595</v>
      </c>
      <c r="B549" s="13" t="s">
        <v>594</v>
      </c>
      <c r="C549" s="13" t="s">
        <v>1446</v>
      </c>
      <c r="D549" s="13" t="s">
        <v>61</v>
      </c>
      <c r="E549" s="13" t="s">
        <v>871</v>
      </c>
      <c r="F549" s="13" t="s">
        <v>872</v>
      </c>
      <c r="G549" s="61" t="n">
        <v>-216458917563</v>
      </c>
      <c r="H549" s="13" t="s">
        <v>1435</v>
      </c>
      <c r="I549" s="13"/>
      <c r="J549" s="13" t="s">
        <v>1467</v>
      </c>
      <c r="K549" s="13" t="s">
        <v>608</v>
      </c>
      <c r="L549" s="13" t="s">
        <v>1443</v>
      </c>
      <c r="M549" s="13"/>
    </row>
    <row r="550" customFormat="false" ht="15" hidden="false" customHeight="false" outlineLevel="0" collapsed="false">
      <c r="A550" s="13" t="s">
        <v>595</v>
      </c>
      <c r="B550" s="13" t="s">
        <v>594</v>
      </c>
      <c r="C550" s="13" t="s">
        <v>1448</v>
      </c>
      <c r="D550" s="13" t="s">
        <v>61</v>
      </c>
      <c r="E550" s="13" t="s">
        <v>871</v>
      </c>
      <c r="F550" s="13" t="s">
        <v>872</v>
      </c>
      <c r="G550" s="61" t="n">
        <v>-202413407666</v>
      </c>
      <c r="H550" s="13" t="s">
        <v>1435</v>
      </c>
      <c r="I550" s="13"/>
      <c r="J550" s="13" t="s">
        <v>1468</v>
      </c>
      <c r="K550" s="13" t="s">
        <v>609</v>
      </c>
      <c r="L550" s="13" t="s">
        <v>1443</v>
      </c>
      <c r="M550" s="13"/>
    </row>
    <row r="551" customFormat="false" ht="15" hidden="false" customHeight="false" outlineLevel="0" collapsed="false">
      <c r="A551" s="13" t="s">
        <v>595</v>
      </c>
      <c r="B551" s="13" t="s">
        <v>594</v>
      </c>
      <c r="C551" s="13" t="s">
        <v>1434</v>
      </c>
      <c r="D551" s="13" t="s">
        <v>61</v>
      </c>
      <c r="E551" s="13" t="s">
        <v>874</v>
      </c>
      <c r="F551" s="13" t="s">
        <v>875</v>
      </c>
      <c r="G551" s="61" t="n">
        <v>-43121963224</v>
      </c>
      <c r="H551" s="13" t="s">
        <v>1435</v>
      </c>
      <c r="I551" s="13"/>
      <c r="J551" s="13" t="s">
        <v>1464</v>
      </c>
      <c r="K551" s="13" t="s">
        <v>1437</v>
      </c>
      <c r="L551" s="13" t="s">
        <v>1438</v>
      </c>
      <c r="M551" s="13"/>
    </row>
    <row r="552" customFormat="false" ht="15" hidden="false" customHeight="false" outlineLevel="0" collapsed="false">
      <c r="A552" s="13" t="s">
        <v>595</v>
      </c>
      <c r="B552" s="13" t="s">
        <v>594</v>
      </c>
      <c r="C552" s="13" t="s">
        <v>1439</v>
      </c>
      <c r="D552" s="13" t="s">
        <v>61</v>
      </c>
      <c r="E552" s="13" t="s">
        <v>874</v>
      </c>
      <c r="F552" s="13" t="s">
        <v>875</v>
      </c>
      <c r="G552" s="61" t="n">
        <v>-284128900534</v>
      </c>
      <c r="H552" s="13" t="s">
        <v>1435</v>
      </c>
      <c r="I552" s="13"/>
      <c r="J552" s="13" t="s">
        <v>1465</v>
      </c>
      <c r="K552" s="13" t="s">
        <v>1441</v>
      </c>
      <c r="L552" s="13" t="s">
        <v>1438</v>
      </c>
      <c r="M552" s="13"/>
    </row>
    <row r="553" customFormat="false" ht="15" hidden="false" customHeight="false" outlineLevel="0" collapsed="false">
      <c r="A553" s="13" t="s">
        <v>595</v>
      </c>
      <c r="B553" s="13" t="s">
        <v>594</v>
      </c>
      <c r="C553" s="13" t="s">
        <v>1442</v>
      </c>
      <c r="D553" s="13" t="s">
        <v>61</v>
      </c>
      <c r="E553" s="13" t="s">
        <v>874</v>
      </c>
      <c r="F553" s="13" t="s">
        <v>875</v>
      </c>
      <c r="G553" s="61" t="n">
        <v>-286797039796</v>
      </c>
      <c r="H553" s="13" t="s">
        <v>1435</v>
      </c>
      <c r="I553" s="13"/>
      <c r="J553" s="13" t="s">
        <v>1465</v>
      </c>
      <c r="K553" s="13" t="s">
        <v>606</v>
      </c>
      <c r="L553" s="13" t="s">
        <v>1443</v>
      </c>
      <c r="M553" s="13"/>
    </row>
    <row r="554" customFormat="false" ht="15" hidden="false" customHeight="false" outlineLevel="0" collapsed="false">
      <c r="A554" s="13" t="s">
        <v>595</v>
      </c>
      <c r="B554" s="13" t="s">
        <v>594</v>
      </c>
      <c r="C554" s="13" t="s">
        <v>1444</v>
      </c>
      <c r="D554" s="13" t="s">
        <v>61</v>
      </c>
      <c r="E554" s="13" t="s">
        <v>874</v>
      </c>
      <c r="F554" s="13" t="s">
        <v>875</v>
      </c>
      <c r="G554" s="61" t="n">
        <v>-10829090592</v>
      </c>
      <c r="H554" s="13" t="s">
        <v>1435</v>
      </c>
      <c r="I554" s="13"/>
      <c r="J554" s="13" t="s">
        <v>1466</v>
      </c>
      <c r="K554" s="13" t="s">
        <v>607</v>
      </c>
      <c r="L554" s="13" t="s">
        <v>1443</v>
      </c>
      <c r="M554" s="13"/>
    </row>
    <row r="555" customFormat="false" ht="15" hidden="false" customHeight="false" outlineLevel="0" collapsed="false">
      <c r="A555" s="13" t="s">
        <v>595</v>
      </c>
      <c r="B555" s="13" t="s">
        <v>594</v>
      </c>
      <c r="C555" s="13" t="s">
        <v>1446</v>
      </c>
      <c r="D555" s="13" t="s">
        <v>61</v>
      </c>
      <c r="E555" s="13" t="s">
        <v>874</v>
      </c>
      <c r="F555" s="13" t="s">
        <v>875</v>
      </c>
      <c r="G555" s="61" t="n">
        <v>-10471066015</v>
      </c>
      <c r="H555" s="13" t="s">
        <v>1435</v>
      </c>
      <c r="I555" s="13"/>
      <c r="J555" s="13" t="s">
        <v>1467</v>
      </c>
      <c r="K555" s="13" t="s">
        <v>608</v>
      </c>
      <c r="L555" s="13" t="s">
        <v>1443</v>
      </c>
      <c r="M555" s="13"/>
    </row>
    <row r="556" customFormat="false" ht="15" hidden="false" customHeight="false" outlineLevel="0" collapsed="false">
      <c r="A556" s="13" t="s">
        <v>595</v>
      </c>
      <c r="B556" s="13" t="s">
        <v>594</v>
      </c>
      <c r="C556" s="13" t="s">
        <v>1448</v>
      </c>
      <c r="D556" s="13" t="s">
        <v>61</v>
      </c>
      <c r="E556" s="13" t="s">
        <v>874</v>
      </c>
      <c r="F556" s="13" t="s">
        <v>875</v>
      </c>
      <c r="G556" s="61" t="n">
        <v>-8343053594</v>
      </c>
      <c r="H556" s="13" t="s">
        <v>1435</v>
      </c>
      <c r="I556" s="13"/>
      <c r="J556" s="13" t="s">
        <v>1468</v>
      </c>
      <c r="K556" s="13" t="s">
        <v>609</v>
      </c>
      <c r="L556" s="13" t="s">
        <v>1443</v>
      </c>
      <c r="M556" s="13"/>
    </row>
    <row r="557" customFormat="false" ht="15" hidden="false" customHeight="false" outlineLevel="0" collapsed="false">
      <c r="A557" s="13" t="s">
        <v>595</v>
      </c>
      <c r="B557" s="13" t="s">
        <v>594</v>
      </c>
      <c r="C557" s="13" t="s">
        <v>1434</v>
      </c>
      <c r="D557" s="13" t="s">
        <v>61</v>
      </c>
      <c r="E557" s="13" t="s">
        <v>877</v>
      </c>
      <c r="F557" s="13" t="s">
        <v>878</v>
      </c>
      <c r="G557" s="61" t="n">
        <v>-502268123814</v>
      </c>
      <c r="H557" s="13" t="s">
        <v>1435</v>
      </c>
      <c r="I557" s="13"/>
      <c r="J557" s="13"/>
      <c r="K557" s="13" t="s">
        <v>1437</v>
      </c>
      <c r="L557" s="13" t="s">
        <v>1438</v>
      </c>
      <c r="M557" s="13" t="s">
        <v>1450</v>
      </c>
    </row>
    <row r="558" customFormat="false" ht="15" hidden="false" customHeight="false" outlineLevel="0" collapsed="false">
      <c r="A558" s="13" t="s">
        <v>595</v>
      </c>
      <c r="B558" s="13" t="s">
        <v>594</v>
      </c>
      <c r="C558" s="13" t="s">
        <v>1439</v>
      </c>
      <c r="D558" s="13" t="s">
        <v>61</v>
      </c>
      <c r="E558" s="13" t="s">
        <v>877</v>
      </c>
      <c r="F558" s="13" t="s">
        <v>878</v>
      </c>
      <c r="G558" s="61" t="n">
        <v>-760313339809</v>
      </c>
      <c r="H558" s="13" t="s">
        <v>1435</v>
      </c>
      <c r="I558" s="13"/>
      <c r="J558" s="13"/>
      <c r="K558" s="13" t="s">
        <v>1441</v>
      </c>
      <c r="L558" s="13" t="s">
        <v>1438</v>
      </c>
      <c r="M558" s="13" t="s">
        <v>1450</v>
      </c>
    </row>
    <row r="559" customFormat="false" ht="15" hidden="false" customHeight="false" outlineLevel="0" collapsed="false">
      <c r="A559" s="13" t="s">
        <v>595</v>
      </c>
      <c r="B559" s="13" t="s">
        <v>594</v>
      </c>
      <c r="C559" s="13" t="s">
        <v>1442</v>
      </c>
      <c r="D559" s="13" t="s">
        <v>61</v>
      </c>
      <c r="E559" s="13" t="s">
        <v>877</v>
      </c>
      <c r="F559" s="13" t="s">
        <v>878</v>
      </c>
      <c r="G559" s="61" t="n">
        <v>39827160327</v>
      </c>
      <c r="H559" s="13" t="s">
        <v>1435</v>
      </c>
      <c r="I559" s="13"/>
      <c r="J559" s="13"/>
      <c r="K559" s="13" t="s">
        <v>606</v>
      </c>
      <c r="L559" s="13" t="s">
        <v>1443</v>
      </c>
      <c r="M559" s="13" t="s">
        <v>1450</v>
      </c>
    </row>
    <row r="560" customFormat="false" ht="15" hidden="false" customHeight="false" outlineLevel="0" collapsed="false">
      <c r="A560" s="13" t="s">
        <v>595</v>
      </c>
      <c r="B560" s="13" t="s">
        <v>594</v>
      </c>
      <c r="C560" s="13" t="s">
        <v>1444</v>
      </c>
      <c r="D560" s="13" t="s">
        <v>61</v>
      </c>
      <c r="E560" s="13" t="s">
        <v>877</v>
      </c>
      <c r="F560" s="13" t="s">
        <v>878</v>
      </c>
      <c r="G560" s="61" t="n">
        <v>78509989050</v>
      </c>
      <c r="H560" s="13" t="s">
        <v>1435</v>
      </c>
      <c r="I560" s="13"/>
      <c r="J560" s="13"/>
      <c r="K560" s="13" t="s">
        <v>607</v>
      </c>
      <c r="L560" s="13" t="s">
        <v>1443</v>
      </c>
      <c r="M560" s="13" t="s">
        <v>1450</v>
      </c>
    </row>
    <row r="561" customFormat="false" ht="15" hidden="false" customHeight="false" outlineLevel="0" collapsed="false">
      <c r="A561" s="13" t="s">
        <v>595</v>
      </c>
      <c r="B561" s="13" t="s">
        <v>594</v>
      </c>
      <c r="C561" s="13" t="s">
        <v>1446</v>
      </c>
      <c r="D561" s="13" t="s">
        <v>61</v>
      </c>
      <c r="E561" s="13" t="s">
        <v>877</v>
      </c>
      <c r="F561" s="13" t="s">
        <v>878</v>
      </c>
      <c r="G561" s="61" t="n">
        <v>42526142886</v>
      </c>
      <c r="H561" s="13" t="s">
        <v>1435</v>
      </c>
      <c r="I561" s="13"/>
      <c r="J561" s="13"/>
      <c r="K561" s="13" t="s">
        <v>608</v>
      </c>
      <c r="L561" s="13" t="s">
        <v>1443</v>
      </c>
      <c r="M561" s="13" t="s">
        <v>1450</v>
      </c>
    </row>
    <row r="562" customFormat="false" ht="15" hidden="false" customHeight="false" outlineLevel="0" collapsed="false">
      <c r="A562" s="13" t="s">
        <v>595</v>
      </c>
      <c r="B562" s="13" t="s">
        <v>594</v>
      </c>
      <c r="C562" s="13" t="s">
        <v>1448</v>
      </c>
      <c r="D562" s="13" t="s">
        <v>61</v>
      </c>
      <c r="E562" s="13" t="s">
        <v>877</v>
      </c>
      <c r="F562" s="13" t="s">
        <v>878</v>
      </c>
      <c r="G562" s="61" t="n">
        <v>-218206301905</v>
      </c>
      <c r="H562" s="13" t="s">
        <v>1435</v>
      </c>
      <c r="I562" s="13"/>
      <c r="J562" s="13"/>
      <c r="K562" s="13" t="s">
        <v>609</v>
      </c>
      <c r="L562" s="13" t="s">
        <v>1443</v>
      </c>
      <c r="M562" s="13" t="s">
        <v>1450</v>
      </c>
    </row>
    <row r="563" customFormat="false" ht="15" hidden="false" customHeight="false" outlineLevel="0" collapsed="false">
      <c r="A563" s="13" t="s">
        <v>595</v>
      </c>
      <c r="B563" s="13" t="s">
        <v>594</v>
      </c>
      <c r="C563" s="13" t="s">
        <v>1434</v>
      </c>
      <c r="D563" s="13" t="s">
        <v>61</v>
      </c>
      <c r="E563" s="13" t="s">
        <v>879</v>
      </c>
      <c r="F563" s="13" t="s">
        <v>880</v>
      </c>
      <c r="G563" s="61" t="n">
        <v>122406267224</v>
      </c>
      <c r="H563" s="13" t="s">
        <v>1435</v>
      </c>
      <c r="I563" s="13"/>
      <c r="J563" s="13" t="s">
        <v>1464</v>
      </c>
      <c r="K563" s="13" t="s">
        <v>1437</v>
      </c>
      <c r="L563" s="13" t="s">
        <v>1438</v>
      </c>
      <c r="M563" s="13"/>
    </row>
    <row r="564" customFormat="false" ht="15" hidden="false" customHeight="false" outlineLevel="0" collapsed="false">
      <c r="A564" s="13" t="s">
        <v>595</v>
      </c>
      <c r="B564" s="13" t="s">
        <v>594</v>
      </c>
      <c r="C564" s="13" t="s">
        <v>1439</v>
      </c>
      <c r="D564" s="13" t="s">
        <v>61</v>
      </c>
      <c r="E564" s="13" t="s">
        <v>879</v>
      </c>
      <c r="F564" s="13" t="s">
        <v>880</v>
      </c>
      <c r="G564" s="61" t="n">
        <v>94430428219</v>
      </c>
      <c r="H564" s="13" t="s">
        <v>1435</v>
      </c>
      <c r="I564" s="13"/>
      <c r="J564" s="13" t="s">
        <v>1465</v>
      </c>
      <c r="K564" s="13" t="s">
        <v>1441</v>
      </c>
      <c r="L564" s="13" t="s">
        <v>1438</v>
      </c>
      <c r="M564" s="13"/>
    </row>
    <row r="565" customFormat="false" ht="15" hidden="false" customHeight="false" outlineLevel="0" collapsed="false">
      <c r="A565" s="13" t="s">
        <v>595</v>
      </c>
      <c r="B565" s="13" t="s">
        <v>594</v>
      </c>
      <c r="C565" s="13" t="s">
        <v>1442</v>
      </c>
      <c r="D565" s="13" t="s">
        <v>61</v>
      </c>
      <c r="E565" s="13" t="s">
        <v>879</v>
      </c>
      <c r="F565" s="13" t="s">
        <v>880</v>
      </c>
      <c r="G565" s="61" t="n">
        <v>57611347026</v>
      </c>
      <c r="H565" s="13" t="s">
        <v>1435</v>
      </c>
      <c r="I565" s="13"/>
      <c r="J565" s="13" t="s">
        <v>1465</v>
      </c>
      <c r="K565" s="13" t="s">
        <v>606</v>
      </c>
      <c r="L565" s="13" t="s">
        <v>1443</v>
      </c>
      <c r="M565" s="13"/>
    </row>
    <row r="566" customFormat="false" ht="15" hidden="false" customHeight="false" outlineLevel="0" collapsed="false">
      <c r="A566" s="13" t="s">
        <v>595</v>
      </c>
      <c r="B566" s="13" t="s">
        <v>594</v>
      </c>
      <c r="C566" s="13" t="s">
        <v>1444</v>
      </c>
      <c r="D566" s="13" t="s">
        <v>61</v>
      </c>
      <c r="E566" s="13" t="s">
        <v>879</v>
      </c>
      <c r="F566" s="13" t="s">
        <v>880</v>
      </c>
      <c r="G566" s="61" t="n">
        <v>81109637645</v>
      </c>
      <c r="H566" s="13" t="s">
        <v>1435</v>
      </c>
      <c r="I566" s="13"/>
      <c r="J566" s="13" t="s">
        <v>1466</v>
      </c>
      <c r="K566" s="13" t="s">
        <v>607</v>
      </c>
      <c r="L566" s="13" t="s">
        <v>1443</v>
      </c>
      <c r="M566" s="13"/>
    </row>
    <row r="567" customFormat="false" ht="15" hidden="false" customHeight="false" outlineLevel="0" collapsed="false">
      <c r="A567" s="13" t="s">
        <v>595</v>
      </c>
      <c r="B567" s="13" t="s">
        <v>594</v>
      </c>
      <c r="C567" s="13" t="s">
        <v>1446</v>
      </c>
      <c r="D567" s="13" t="s">
        <v>61</v>
      </c>
      <c r="E567" s="13" t="s">
        <v>879</v>
      </c>
      <c r="F567" s="13" t="s">
        <v>880</v>
      </c>
      <c r="G567" s="61" t="n">
        <v>820261571890</v>
      </c>
      <c r="H567" s="13" t="s">
        <v>1435</v>
      </c>
      <c r="I567" s="13"/>
      <c r="J567" s="13" t="s">
        <v>1467</v>
      </c>
      <c r="K567" s="13" t="s">
        <v>608</v>
      </c>
      <c r="L567" s="13" t="s">
        <v>1443</v>
      </c>
      <c r="M567" s="13"/>
    </row>
    <row r="568" customFormat="false" ht="15" hidden="false" customHeight="false" outlineLevel="0" collapsed="false">
      <c r="A568" s="13" t="s">
        <v>595</v>
      </c>
      <c r="B568" s="13" t="s">
        <v>594</v>
      </c>
      <c r="C568" s="13" t="s">
        <v>1448</v>
      </c>
      <c r="D568" s="13" t="s">
        <v>61</v>
      </c>
      <c r="E568" s="13" t="s">
        <v>879</v>
      </c>
      <c r="F568" s="13" t="s">
        <v>880</v>
      </c>
      <c r="G568" s="61" t="n">
        <v>27073838533</v>
      </c>
      <c r="H568" s="13" t="s">
        <v>1435</v>
      </c>
      <c r="I568" s="13"/>
      <c r="J568" s="13" t="s">
        <v>1468</v>
      </c>
      <c r="K568" s="13" t="s">
        <v>609</v>
      </c>
      <c r="L568" s="13" t="s">
        <v>1443</v>
      </c>
      <c r="M568" s="13"/>
    </row>
    <row r="569" customFormat="false" ht="15" hidden="false" customHeight="false" outlineLevel="0" collapsed="false">
      <c r="A569" s="13" t="s">
        <v>595</v>
      </c>
      <c r="B569" s="13" t="s">
        <v>594</v>
      </c>
      <c r="C569" s="13" t="s">
        <v>1434</v>
      </c>
      <c r="D569" s="13" t="s">
        <v>61</v>
      </c>
      <c r="E569" s="13" t="s">
        <v>882</v>
      </c>
      <c r="F569" s="13" t="s">
        <v>883</v>
      </c>
      <c r="G569" s="61" t="n">
        <v>-132166928747</v>
      </c>
      <c r="H569" s="13" t="s">
        <v>1435</v>
      </c>
      <c r="I569" s="13"/>
      <c r="J569" s="13" t="s">
        <v>1464</v>
      </c>
      <c r="K569" s="13" t="s">
        <v>1437</v>
      </c>
      <c r="L569" s="13" t="s">
        <v>1438</v>
      </c>
      <c r="M569" s="13"/>
    </row>
    <row r="570" customFormat="false" ht="15" hidden="false" customHeight="false" outlineLevel="0" collapsed="false">
      <c r="A570" s="13" t="s">
        <v>595</v>
      </c>
      <c r="B570" s="13" t="s">
        <v>594</v>
      </c>
      <c r="C570" s="13" t="s">
        <v>1439</v>
      </c>
      <c r="D570" s="13" t="s">
        <v>61</v>
      </c>
      <c r="E570" s="13" t="s">
        <v>882</v>
      </c>
      <c r="F570" s="13" t="s">
        <v>883</v>
      </c>
      <c r="G570" s="61" t="n">
        <v>-104402505616</v>
      </c>
      <c r="H570" s="13" t="s">
        <v>1435</v>
      </c>
      <c r="I570" s="13"/>
      <c r="J570" s="13" t="s">
        <v>1465</v>
      </c>
      <c r="K570" s="13" t="s">
        <v>1441</v>
      </c>
      <c r="L570" s="13" t="s">
        <v>1438</v>
      </c>
      <c r="M570" s="13"/>
    </row>
    <row r="571" customFormat="false" ht="15" hidden="false" customHeight="false" outlineLevel="0" collapsed="false">
      <c r="A571" s="13" t="s">
        <v>595</v>
      </c>
      <c r="B571" s="13" t="s">
        <v>594</v>
      </c>
      <c r="C571" s="13" t="s">
        <v>1442</v>
      </c>
      <c r="D571" s="13" t="s">
        <v>61</v>
      </c>
      <c r="E571" s="13" t="s">
        <v>882</v>
      </c>
      <c r="F571" s="13" t="s">
        <v>883</v>
      </c>
      <c r="G571" s="61" t="n">
        <v>-44937705922</v>
      </c>
      <c r="H571" s="13" t="s">
        <v>1435</v>
      </c>
      <c r="I571" s="13"/>
      <c r="J571" s="13" t="s">
        <v>1465</v>
      </c>
      <c r="K571" s="13" t="s">
        <v>606</v>
      </c>
      <c r="L571" s="13" t="s">
        <v>1443</v>
      </c>
      <c r="M571" s="13"/>
    </row>
    <row r="572" customFormat="false" ht="15" hidden="false" customHeight="false" outlineLevel="0" collapsed="false">
      <c r="A572" s="13" t="s">
        <v>595</v>
      </c>
      <c r="B572" s="13" t="s">
        <v>594</v>
      </c>
      <c r="C572" s="13" t="s">
        <v>1444</v>
      </c>
      <c r="D572" s="13" t="s">
        <v>61</v>
      </c>
      <c r="E572" s="13" t="s">
        <v>882</v>
      </c>
      <c r="F572" s="13" t="s">
        <v>883</v>
      </c>
      <c r="G572" s="61" t="n">
        <v>-69212953527</v>
      </c>
      <c r="H572" s="13" t="s">
        <v>1435</v>
      </c>
      <c r="I572" s="13"/>
      <c r="J572" s="13" t="s">
        <v>1466</v>
      </c>
      <c r="K572" s="13" t="s">
        <v>607</v>
      </c>
      <c r="L572" s="13" t="s">
        <v>1443</v>
      </c>
      <c r="M572" s="13"/>
    </row>
    <row r="573" customFormat="false" ht="15" hidden="false" customHeight="false" outlineLevel="0" collapsed="false">
      <c r="A573" s="13" t="s">
        <v>595</v>
      </c>
      <c r="B573" s="13" t="s">
        <v>594</v>
      </c>
      <c r="C573" s="13" t="s">
        <v>1446</v>
      </c>
      <c r="D573" s="13" t="s">
        <v>61</v>
      </c>
      <c r="E573" s="13" t="s">
        <v>882</v>
      </c>
      <c r="F573" s="13" t="s">
        <v>883</v>
      </c>
      <c r="G573" s="61" t="n">
        <v>-172242638206</v>
      </c>
      <c r="H573" s="13" t="s">
        <v>1435</v>
      </c>
      <c r="I573" s="13"/>
      <c r="J573" s="13" t="s">
        <v>1467</v>
      </c>
      <c r="K573" s="13" t="s">
        <v>608</v>
      </c>
      <c r="L573" s="13" t="s">
        <v>1443</v>
      </c>
      <c r="M573" s="13"/>
    </row>
    <row r="574" customFormat="false" ht="15" hidden="false" customHeight="false" outlineLevel="0" collapsed="false">
      <c r="A574" s="13" t="s">
        <v>595</v>
      </c>
      <c r="B574" s="13" t="s">
        <v>594</v>
      </c>
      <c r="C574" s="13" t="s">
        <v>1448</v>
      </c>
      <c r="D574" s="13" t="s">
        <v>61</v>
      </c>
      <c r="E574" s="13" t="s">
        <v>882</v>
      </c>
      <c r="F574" s="13" t="s">
        <v>883</v>
      </c>
      <c r="G574" s="61" t="n">
        <v>-796658178458</v>
      </c>
      <c r="H574" s="13" t="s">
        <v>1435</v>
      </c>
      <c r="I574" s="13"/>
      <c r="J574" s="13" t="s">
        <v>1468</v>
      </c>
      <c r="K574" s="13" t="s">
        <v>609</v>
      </c>
      <c r="L574" s="13" t="s">
        <v>1443</v>
      </c>
      <c r="M574" s="13"/>
    </row>
    <row r="575" customFormat="false" ht="15" hidden="false" customHeight="false" outlineLevel="0" collapsed="false">
      <c r="A575" s="13" t="s">
        <v>595</v>
      </c>
      <c r="B575" s="13" t="s">
        <v>594</v>
      </c>
      <c r="C575" s="13" t="s">
        <v>1439</v>
      </c>
      <c r="D575" s="13" t="s">
        <v>61</v>
      </c>
      <c r="E575" s="13" t="s">
        <v>885</v>
      </c>
      <c r="F575" s="13" t="s">
        <v>886</v>
      </c>
      <c r="G575" s="61" t="n">
        <v>748387819796</v>
      </c>
      <c r="H575" s="13" t="s">
        <v>1435</v>
      </c>
      <c r="I575" s="13"/>
      <c r="J575" s="13" t="s">
        <v>1465</v>
      </c>
      <c r="K575" s="13" t="s">
        <v>1441</v>
      </c>
      <c r="L575" s="13" t="s">
        <v>1438</v>
      </c>
      <c r="M575" s="13"/>
    </row>
    <row r="576" customFormat="false" ht="15" hidden="false" customHeight="false" outlineLevel="0" collapsed="false">
      <c r="A576" s="13" t="s">
        <v>595</v>
      </c>
      <c r="B576" s="13" t="s">
        <v>594</v>
      </c>
      <c r="C576" s="13" t="s">
        <v>1442</v>
      </c>
      <c r="D576" s="13" t="s">
        <v>61</v>
      </c>
      <c r="E576" s="13" t="s">
        <v>885</v>
      </c>
      <c r="F576" s="13" t="s">
        <v>886</v>
      </c>
      <c r="G576" s="61" t="n">
        <v>91799881715</v>
      </c>
      <c r="H576" s="13" t="s">
        <v>1435</v>
      </c>
      <c r="I576" s="13"/>
      <c r="J576" s="13" t="s">
        <v>1465</v>
      </c>
      <c r="K576" s="13" t="s">
        <v>606</v>
      </c>
      <c r="L576" s="13" t="s">
        <v>1443</v>
      </c>
      <c r="M576" s="13"/>
    </row>
    <row r="577" customFormat="false" ht="15" hidden="false" customHeight="false" outlineLevel="0" collapsed="false">
      <c r="A577" s="13" t="s">
        <v>595</v>
      </c>
      <c r="B577" s="13" t="s">
        <v>594</v>
      </c>
      <c r="C577" s="13" t="s">
        <v>1444</v>
      </c>
      <c r="D577" s="13" t="s">
        <v>61</v>
      </c>
      <c r="E577" s="13" t="s">
        <v>885</v>
      </c>
      <c r="F577" s="13" t="s">
        <v>886</v>
      </c>
      <c r="G577" s="61" t="n">
        <v>4995000000</v>
      </c>
      <c r="H577" s="13" t="s">
        <v>1435</v>
      </c>
      <c r="I577" s="13"/>
      <c r="J577" s="13" t="s">
        <v>1466</v>
      </c>
      <c r="K577" s="13" t="s">
        <v>607</v>
      </c>
      <c r="L577" s="13" t="s">
        <v>1443</v>
      </c>
      <c r="M577" s="13"/>
    </row>
    <row r="578" customFormat="false" ht="15" hidden="false" customHeight="false" outlineLevel="0" collapsed="false">
      <c r="A578" s="13" t="s">
        <v>595</v>
      </c>
      <c r="B578" s="13" t="s">
        <v>594</v>
      </c>
      <c r="C578" s="13" t="s">
        <v>1446</v>
      </c>
      <c r="D578" s="13" t="s">
        <v>61</v>
      </c>
      <c r="E578" s="13" t="s">
        <v>885</v>
      </c>
      <c r="F578" s="13" t="s">
        <v>886</v>
      </c>
      <c r="G578" s="61" t="n">
        <v>0</v>
      </c>
      <c r="H578" s="13" t="s">
        <v>1435</v>
      </c>
      <c r="I578" s="13"/>
      <c r="J578" s="13" t="s">
        <v>1467</v>
      </c>
      <c r="K578" s="13" t="s">
        <v>608</v>
      </c>
      <c r="L578" s="13" t="s">
        <v>1443</v>
      </c>
      <c r="M578" s="13"/>
    </row>
    <row r="579" customFormat="false" ht="15" hidden="false" customHeight="false" outlineLevel="0" collapsed="false">
      <c r="A579" s="13" t="s">
        <v>595</v>
      </c>
      <c r="B579" s="13" t="s">
        <v>594</v>
      </c>
      <c r="C579" s="13" t="s">
        <v>1448</v>
      </c>
      <c r="D579" s="13" t="s">
        <v>61</v>
      </c>
      <c r="E579" s="13" t="s">
        <v>885</v>
      </c>
      <c r="F579" s="13" t="s">
        <v>886</v>
      </c>
      <c r="G579" s="61" t="n">
        <v>321589326771</v>
      </c>
      <c r="H579" s="13" t="s">
        <v>1435</v>
      </c>
      <c r="I579" s="13"/>
      <c r="J579" s="13" t="s">
        <v>1468</v>
      </c>
      <c r="K579" s="13" t="s">
        <v>609</v>
      </c>
      <c r="L579" s="13" t="s">
        <v>1443</v>
      </c>
      <c r="M579" s="13"/>
    </row>
    <row r="580" customFormat="false" ht="15" hidden="false" customHeight="false" outlineLevel="0" collapsed="false">
      <c r="A580" s="13" t="s">
        <v>595</v>
      </c>
      <c r="B580" s="13" t="s">
        <v>594</v>
      </c>
      <c r="C580" s="13" t="s">
        <v>1434</v>
      </c>
      <c r="D580" s="13" t="s">
        <v>61</v>
      </c>
      <c r="E580" s="13" t="s">
        <v>888</v>
      </c>
      <c r="F580" s="13" t="s">
        <v>889</v>
      </c>
      <c r="G580" s="61" t="n">
        <v>-6801039853</v>
      </c>
      <c r="H580" s="13" t="s">
        <v>1435</v>
      </c>
      <c r="I580" s="13"/>
      <c r="J580" s="13" t="s">
        <v>1464</v>
      </c>
      <c r="K580" s="13" t="s">
        <v>1437</v>
      </c>
      <c r="L580" s="13" t="s">
        <v>1438</v>
      </c>
      <c r="M580" s="13"/>
    </row>
    <row r="581" customFormat="false" ht="15" hidden="false" customHeight="false" outlineLevel="0" collapsed="false">
      <c r="A581" s="13" t="s">
        <v>595</v>
      </c>
      <c r="B581" s="13" t="s">
        <v>594</v>
      </c>
      <c r="C581" s="13" t="s">
        <v>1439</v>
      </c>
      <c r="D581" s="13" t="s">
        <v>61</v>
      </c>
      <c r="E581" s="13" t="s">
        <v>888</v>
      </c>
      <c r="F581" s="13" t="s">
        <v>889</v>
      </c>
      <c r="G581" s="61" t="n">
        <v>-8740092349</v>
      </c>
      <c r="H581" s="13" t="s">
        <v>1435</v>
      </c>
      <c r="I581" s="13"/>
      <c r="J581" s="13" t="s">
        <v>1465</v>
      </c>
      <c r="K581" s="13" t="s">
        <v>1441</v>
      </c>
      <c r="L581" s="13" t="s">
        <v>1438</v>
      </c>
      <c r="M581" s="13"/>
    </row>
    <row r="582" customFormat="false" ht="15" hidden="false" customHeight="false" outlineLevel="0" collapsed="false">
      <c r="A582" s="13" t="s">
        <v>595</v>
      </c>
      <c r="B582" s="13" t="s">
        <v>594</v>
      </c>
      <c r="C582" s="13" t="s">
        <v>1442</v>
      </c>
      <c r="D582" s="13" t="s">
        <v>61</v>
      </c>
      <c r="E582" s="13" t="s">
        <v>888</v>
      </c>
      <c r="F582" s="13" t="s">
        <v>889</v>
      </c>
      <c r="G582" s="61" t="n">
        <v>-97609429124</v>
      </c>
      <c r="H582" s="13" t="s">
        <v>1435</v>
      </c>
      <c r="I582" s="13"/>
      <c r="J582" s="13" t="s">
        <v>1465</v>
      </c>
      <c r="K582" s="13" t="s">
        <v>606</v>
      </c>
      <c r="L582" s="13" t="s">
        <v>1443</v>
      </c>
      <c r="M582" s="13"/>
    </row>
    <row r="583" customFormat="false" ht="15" hidden="false" customHeight="false" outlineLevel="0" collapsed="false">
      <c r="A583" s="13" t="s">
        <v>595</v>
      </c>
      <c r="B583" s="13" t="s">
        <v>594</v>
      </c>
      <c r="C583" s="13" t="s">
        <v>1444</v>
      </c>
      <c r="D583" s="13" t="s">
        <v>61</v>
      </c>
      <c r="E583" s="13" t="s">
        <v>888</v>
      </c>
      <c r="F583" s="13" t="s">
        <v>889</v>
      </c>
      <c r="G583" s="61" t="n">
        <v>-4694056586</v>
      </c>
      <c r="H583" s="13" t="s">
        <v>1435</v>
      </c>
      <c r="I583" s="13"/>
      <c r="J583" s="13" t="s">
        <v>1466</v>
      </c>
      <c r="K583" s="13" t="s">
        <v>607</v>
      </c>
      <c r="L583" s="13" t="s">
        <v>1443</v>
      </c>
      <c r="M583" s="13"/>
    </row>
    <row r="584" customFormat="false" ht="15" hidden="false" customHeight="false" outlineLevel="0" collapsed="false">
      <c r="A584" s="13" t="s">
        <v>595</v>
      </c>
      <c r="B584" s="13" t="s">
        <v>594</v>
      </c>
      <c r="C584" s="13" t="s">
        <v>1446</v>
      </c>
      <c r="D584" s="13" t="s">
        <v>61</v>
      </c>
      <c r="E584" s="13" t="s">
        <v>888</v>
      </c>
      <c r="F584" s="13" t="s">
        <v>889</v>
      </c>
      <c r="G584" s="61" t="n">
        <v>-6804272871</v>
      </c>
      <c r="H584" s="13" t="s">
        <v>1435</v>
      </c>
      <c r="I584" s="13"/>
      <c r="J584" s="13" t="s">
        <v>1467</v>
      </c>
      <c r="K584" s="13" t="s">
        <v>608</v>
      </c>
      <c r="L584" s="13" t="s">
        <v>1443</v>
      </c>
      <c r="M584" s="13"/>
    </row>
    <row r="585" customFormat="false" ht="15" hidden="false" customHeight="false" outlineLevel="0" collapsed="false">
      <c r="A585" s="13" t="s">
        <v>595</v>
      </c>
      <c r="B585" s="13" t="s">
        <v>594</v>
      </c>
      <c r="C585" s="13" t="s">
        <v>1448</v>
      </c>
      <c r="D585" s="13" t="s">
        <v>61</v>
      </c>
      <c r="E585" s="13" t="s">
        <v>888</v>
      </c>
      <c r="F585" s="13" t="s">
        <v>889</v>
      </c>
      <c r="G585" s="61" t="n">
        <v>-102577989515</v>
      </c>
      <c r="H585" s="13" t="s">
        <v>1435</v>
      </c>
      <c r="I585" s="13"/>
      <c r="J585" s="13" t="s">
        <v>1468</v>
      </c>
      <c r="K585" s="13" t="s">
        <v>609</v>
      </c>
      <c r="L585" s="13" t="s">
        <v>1443</v>
      </c>
      <c r="M585" s="13"/>
    </row>
    <row r="586" customFormat="false" ht="15" hidden="false" customHeight="false" outlineLevel="0" collapsed="false">
      <c r="A586" s="13" t="s">
        <v>595</v>
      </c>
      <c r="B586" s="13" t="s">
        <v>594</v>
      </c>
      <c r="C586" s="13" t="s">
        <v>1446</v>
      </c>
      <c r="D586" s="13" t="s">
        <v>61</v>
      </c>
      <c r="E586" s="13" t="s">
        <v>891</v>
      </c>
      <c r="F586" s="13" t="s">
        <v>892</v>
      </c>
      <c r="G586" s="61" t="n">
        <v>57235000000</v>
      </c>
      <c r="H586" s="13" t="s">
        <v>1435</v>
      </c>
      <c r="I586" s="13"/>
      <c r="J586" s="13" t="s">
        <v>1467</v>
      </c>
      <c r="K586" s="13" t="s">
        <v>608</v>
      </c>
      <c r="L586" s="13" t="s">
        <v>1443</v>
      </c>
      <c r="M586" s="13"/>
    </row>
    <row r="587" customFormat="false" ht="15" hidden="false" customHeight="false" outlineLevel="0" collapsed="false">
      <c r="A587" s="13" t="s">
        <v>595</v>
      </c>
      <c r="B587" s="13" t="s">
        <v>594</v>
      </c>
      <c r="C587" s="13" t="s">
        <v>1448</v>
      </c>
      <c r="D587" s="13" t="s">
        <v>61</v>
      </c>
      <c r="E587" s="13" t="s">
        <v>891</v>
      </c>
      <c r="F587" s="13" t="s">
        <v>892</v>
      </c>
      <c r="G587" s="61" t="n">
        <v>2672706546</v>
      </c>
      <c r="H587" s="13" t="s">
        <v>1435</v>
      </c>
      <c r="I587" s="13"/>
      <c r="J587" s="13" t="s">
        <v>1468</v>
      </c>
      <c r="K587" s="13" t="s">
        <v>609</v>
      </c>
      <c r="L587" s="13" t="s">
        <v>1443</v>
      </c>
      <c r="M587" s="13"/>
    </row>
    <row r="588" customFormat="false" ht="15" hidden="false" customHeight="false" outlineLevel="0" collapsed="false">
      <c r="A588" s="13" t="s">
        <v>595</v>
      </c>
      <c r="B588" s="13" t="s">
        <v>594</v>
      </c>
      <c r="C588" s="13" t="s">
        <v>1439</v>
      </c>
      <c r="D588" s="13" t="s">
        <v>61</v>
      </c>
      <c r="E588" s="13" t="s">
        <v>894</v>
      </c>
      <c r="F588" s="13" t="s">
        <v>895</v>
      </c>
      <c r="G588" s="61" t="n">
        <v>0</v>
      </c>
      <c r="H588" s="13" t="s">
        <v>1435</v>
      </c>
      <c r="I588" s="13"/>
      <c r="J588" s="13" t="s">
        <v>1465</v>
      </c>
      <c r="K588" s="13" t="s">
        <v>1441</v>
      </c>
      <c r="L588" s="13" t="s">
        <v>1438</v>
      </c>
      <c r="M588" s="13"/>
    </row>
    <row r="589" customFormat="false" ht="15" hidden="false" customHeight="false" outlineLevel="0" collapsed="false">
      <c r="A589" s="13" t="s">
        <v>595</v>
      </c>
      <c r="B589" s="13" t="s">
        <v>594</v>
      </c>
      <c r="C589" s="13" t="s">
        <v>1442</v>
      </c>
      <c r="D589" s="13" t="s">
        <v>61</v>
      </c>
      <c r="E589" s="13" t="s">
        <v>894</v>
      </c>
      <c r="F589" s="13" t="s">
        <v>895</v>
      </c>
      <c r="G589" s="61" t="n">
        <v>-7107214914</v>
      </c>
      <c r="H589" s="13" t="s">
        <v>1435</v>
      </c>
      <c r="I589" s="13"/>
      <c r="J589" s="13" t="s">
        <v>1465</v>
      </c>
      <c r="K589" s="13" t="s">
        <v>606</v>
      </c>
      <c r="L589" s="13" t="s">
        <v>1443</v>
      </c>
      <c r="M589" s="13"/>
    </row>
    <row r="590" customFormat="false" ht="15" hidden="false" customHeight="false" outlineLevel="0" collapsed="false">
      <c r="A590" s="13" t="s">
        <v>595</v>
      </c>
      <c r="B590" s="13" t="s">
        <v>594</v>
      </c>
      <c r="C590" s="13" t="s">
        <v>1444</v>
      </c>
      <c r="D590" s="13" t="s">
        <v>61</v>
      </c>
      <c r="E590" s="13" t="s">
        <v>894</v>
      </c>
      <c r="F590" s="13" t="s">
        <v>895</v>
      </c>
      <c r="G590" s="61" t="n">
        <v>-15515140959</v>
      </c>
      <c r="H590" s="13" t="s">
        <v>1435</v>
      </c>
      <c r="I590" s="13"/>
      <c r="J590" s="13" t="s">
        <v>1466</v>
      </c>
      <c r="K590" s="13" t="s">
        <v>607</v>
      </c>
      <c r="L590" s="13" t="s">
        <v>1443</v>
      </c>
      <c r="M590" s="13"/>
    </row>
    <row r="591" customFormat="false" ht="15" hidden="false" customHeight="false" outlineLevel="0" collapsed="false">
      <c r="A591" s="13" t="s">
        <v>595</v>
      </c>
      <c r="B591" s="13" t="s">
        <v>594</v>
      </c>
      <c r="C591" s="13" t="s">
        <v>1446</v>
      </c>
      <c r="D591" s="13" t="s">
        <v>61</v>
      </c>
      <c r="E591" s="13" t="s">
        <v>894</v>
      </c>
      <c r="F591" s="13" t="s">
        <v>895</v>
      </c>
      <c r="G591" s="61" t="n">
        <v>-54212785089</v>
      </c>
      <c r="H591" s="13" t="s">
        <v>1435</v>
      </c>
      <c r="I591" s="13"/>
      <c r="J591" s="13" t="s">
        <v>1467</v>
      </c>
      <c r="K591" s="13" t="s">
        <v>608</v>
      </c>
      <c r="L591" s="13" t="s">
        <v>1443</v>
      </c>
      <c r="M591" s="13"/>
    </row>
    <row r="592" customFormat="false" ht="15" hidden="false" customHeight="false" outlineLevel="0" collapsed="false">
      <c r="A592" s="13" t="s">
        <v>595</v>
      </c>
      <c r="B592" s="13" t="s">
        <v>594</v>
      </c>
      <c r="C592" s="13" t="s">
        <v>1448</v>
      </c>
      <c r="D592" s="13" t="s">
        <v>61</v>
      </c>
      <c r="E592" s="13" t="s">
        <v>894</v>
      </c>
      <c r="F592" s="13" t="s">
        <v>895</v>
      </c>
      <c r="G592" s="61" t="n">
        <v>-56967748164</v>
      </c>
      <c r="H592" s="13" t="s">
        <v>1435</v>
      </c>
      <c r="I592" s="13"/>
      <c r="J592" s="13" t="s">
        <v>1468</v>
      </c>
      <c r="K592" s="13" t="s">
        <v>609</v>
      </c>
      <c r="L592" s="13" t="s">
        <v>1443</v>
      </c>
      <c r="M592" s="13"/>
    </row>
    <row r="593" customFormat="false" ht="15" hidden="false" customHeight="false" outlineLevel="0" collapsed="false">
      <c r="A593" s="13" t="s">
        <v>595</v>
      </c>
      <c r="B593" s="13" t="s">
        <v>594</v>
      </c>
      <c r="C593" s="13" t="s">
        <v>1448</v>
      </c>
      <c r="D593" s="13" t="s">
        <v>61</v>
      </c>
      <c r="E593" s="13" t="s">
        <v>897</v>
      </c>
      <c r="F593" s="13" t="s">
        <v>898</v>
      </c>
      <c r="G593" s="61" t="n">
        <v>750000000000</v>
      </c>
      <c r="H593" s="13" t="s">
        <v>1435</v>
      </c>
      <c r="I593" s="13"/>
      <c r="J593" s="13" t="s">
        <v>1468</v>
      </c>
      <c r="K593" s="13" t="s">
        <v>609</v>
      </c>
      <c r="L593" s="13" t="s">
        <v>1443</v>
      </c>
      <c r="M593" s="13"/>
    </row>
    <row r="594" customFormat="false" ht="15" hidden="false" customHeight="false" outlineLevel="0" collapsed="false">
      <c r="A594" s="13" t="s">
        <v>595</v>
      </c>
      <c r="B594" s="13" t="s">
        <v>594</v>
      </c>
      <c r="C594" s="13" t="s">
        <v>1446</v>
      </c>
      <c r="D594" s="13" t="s">
        <v>61</v>
      </c>
      <c r="E594" s="13" t="s">
        <v>900</v>
      </c>
      <c r="F594" s="13" t="s">
        <v>901</v>
      </c>
      <c r="G594" s="61" t="n">
        <v>-650000000000</v>
      </c>
      <c r="H594" s="13" t="s">
        <v>1435</v>
      </c>
      <c r="I594" s="13"/>
      <c r="J594" s="13" t="s">
        <v>1467</v>
      </c>
      <c r="K594" s="13" t="s">
        <v>608</v>
      </c>
      <c r="L594" s="13" t="s">
        <v>1443</v>
      </c>
      <c r="M594" s="13"/>
    </row>
    <row r="595" customFormat="false" ht="15" hidden="false" customHeight="false" outlineLevel="0" collapsed="false">
      <c r="A595" s="13" t="s">
        <v>595</v>
      </c>
      <c r="B595" s="13" t="s">
        <v>594</v>
      </c>
      <c r="C595" s="13" t="s">
        <v>1448</v>
      </c>
      <c r="D595" s="13" t="s">
        <v>61</v>
      </c>
      <c r="E595" s="13" t="s">
        <v>900</v>
      </c>
      <c r="F595" s="13" t="s">
        <v>901</v>
      </c>
      <c r="G595" s="61" t="n">
        <v>0</v>
      </c>
      <c r="H595" s="13" t="s">
        <v>1435</v>
      </c>
      <c r="I595" s="13"/>
      <c r="J595" s="13" t="s">
        <v>1468</v>
      </c>
      <c r="K595" s="13" t="s">
        <v>609</v>
      </c>
      <c r="L595" s="13" t="s">
        <v>1443</v>
      </c>
      <c r="M595" s="13"/>
    </row>
    <row r="596" customFormat="false" ht="15" hidden="false" customHeight="false" outlineLevel="0" collapsed="false">
      <c r="A596" s="13" t="s">
        <v>595</v>
      </c>
      <c r="B596" s="13" t="s">
        <v>594</v>
      </c>
      <c r="C596" s="13" t="s">
        <v>1439</v>
      </c>
      <c r="D596" s="13" t="s">
        <v>61</v>
      </c>
      <c r="E596" s="13" t="s">
        <v>903</v>
      </c>
      <c r="F596" s="13" t="s">
        <v>904</v>
      </c>
      <c r="G596" s="61" t="n">
        <v>-1774574829</v>
      </c>
      <c r="H596" s="13" t="s">
        <v>1435</v>
      </c>
      <c r="I596" s="13"/>
      <c r="J596" s="13" t="s">
        <v>1465</v>
      </c>
      <c r="K596" s="13" t="s">
        <v>1441</v>
      </c>
      <c r="L596" s="13" t="s">
        <v>1438</v>
      </c>
      <c r="M596" s="13"/>
    </row>
    <row r="597" customFormat="false" ht="15" hidden="false" customHeight="false" outlineLevel="0" collapsed="false">
      <c r="A597" s="13" t="s">
        <v>595</v>
      </c>
      <c r="B597" s="13" t="s">
        <v>594</v>
      </c>
      <c r="C597" s="13" t="s">
        <v>1442</v>
      </c>
      <c r="D597" s="13" t="s">
        <v>61</v>
      </c>
      <c r="E597" s="13" t="s">
        <v>903</v>
      </c>
      <c r="F597" s="13" t="s">
        <v>904</v>
      </c>
      <c r="G597" s="61" t="n">
        <v>0</v>
      </c>
      <c r="H597" s="13" t="s">
        <v>1435</v>
      </c>
      <c r="I597" s="13"/>
      <c r="J597" s="13" t="s">
        <v>1465</v>
      </c>
      <c r="K597" s="13" t="s">
        <v>606</v>
      </c>
      <c r="L597" s="13" t="s">
        <v>1443</v>
      </c>
      <c r="M597" s="13"/>
    </row>
    <row r="598" customFormat="false" ht="15" hidden="false" customHeight="false" outlineLevel="0" collapsed="false">
      <c r="A598" s="13" t="s">
        <v>595</v>
      </c>
      <c r="B598" s="13" t="s">
        <v>594</v>
      </c>
      <c r="C598" s="13" t="s">
        <v>1448</v>
      </c>
      <c r="D598" s="13" t="s">
        <v>61</v>
      </c>
      <c r="E598" s="13" t="s">
        <v>903</v>
      </c>
      <c r="F598" s="13" t="s">
        <v>904</v>
      </c>
      <c r="G598" s="61" t="n">
        <v>-2966184621</v>
      </c>
      <c r="H598" s="13" t="s">
        <v>1435</v>
      </c>
      <c r="I598" s="13"/>
      <c r="J598" s="13" t="s">
        <v>1468</v>
      </c>
      <c r="K598" s="13" t="s">
        <v>609</v>
      </c>
      <c r="L598" s="13" t="s">
        <v>1443</v>
      </c>
      <c r="M598" s="13"/>
    </row>
    <row r="599" customFormat="false" ht="15" hidden="false" customHeight="false" outlineLevel="0" collapsed="false">
      <c r="A599" s="13" t="s">
        <v>595</v>
      </c>
      <c r="B599" s="13" t="s">
        <v>594</v>
      </c>
      <c r="C599" s="13" t="s">
        <v>1434</v>
      </c>
      <c r="D599" s="13" t="s">
        <v>61</v>
      </c>
      <c r="E599" s="13" t="s">
        <v>906</v>
      </c>
      <c r="F599" s="13" t="s">
        <v>907</v>
      </c>
      <c r="G599" s="61" t="n">
        <v>1392705481</v>
      </c>
      <c r="H599" s="13" t="s">
        <v>1435</v>
      </c>
      <c r="I599" s="13"/>
      <c r="J599" s="13" t="s">
        <v>1464</v>
      </c>
      <c r="K599" s="13" t="s">
        <v>1437</v>
      </c>
      <c r="L599" s="13" t="s">
        <v>1438</v>
      </c>
      <c r="M599" s="13"/>
    </row>
    <row r="600" customFormat="false" ht="15" hidden="false" customHeight="false" outlineLevel="0" collapsed="false">
      <c r="A600" s="13" t="s">
        <v>595</v>
      </c>
      <c r="B600" s="13" t="s">
        <v>594</v>
      </c>
      <c r="C600" s="13" t="s">
        <v>1439</v>
      </c>
      <c r="D600" s="13" t="s">
        <v>61</v>
      </c>
      <c r="E600" s="13" t="s">
        <v>906</v>
      </c>
      <c r="F600" s="13" t="s">
        <v>907</v>
      </c>
      <c r="G600" s="61" t="n">
        <v>-449287797</v>
      </c>
      <c r="H600" s="13" t="s">
        <v>1435</v>
      </c>
      <c r="I600" s="13"/>
      <c r="J600" s="13" t="s">
        <v>1465</v>
      </c>
      <c r="K600" s="13" t="s">
        <v>1441</v>
      </c>
      <c r="L600" s="13" t="s">
        <v>1438</v>
      </c>
      <c r="M600" s="13"/>
    </row>
    <row r="601" customFormat="false" ht="15" hidden="false" customHeight="false" outlineLevel="0" collapsed="false">
      <c r="A601" s="13" t="s">
        <v>595</v>
      </c>
      <c r="B601" s="13" t="s">
        <v>594</v>
      </c>
      <c r="C601" s="13" t="s">
        <v>1442</v>
      </c>
      <c r="D601" s="13" t="s">
        <v>61</v>
      </c>
      <c r="E601" s="13" t="s">
        <v>906</v>
      </c>
      <c r="F601" s="13" t="s">
        <v>907</v>
      </c>
      <c r="G601" s="61" t="n">
        <v>492529433</v>
      </c>
      <c r="H601" s="13" t="s">
        <v>1435</v>
      </c>
      <c r="I601" s="13"/>
      <c r="J601" s="13" t="s">
        <v>1465</v>
      </c>
      <c r="K601" s="13" t="s">
        <v>606</v>
      </c>
      <c r="L601" s="13" t="s">
        <v>1443</v>
      </c>
      <c r="M601" s="13"/>
    </row>
    <row r="602" customFormat="false" ht="15" hidden="false" customHeight="false" outlineLevel="0" collapsed="false">
      <c r="A602" s="13" t="s">
        <v>595</v>
      </c>
      <c r="B602" s="13" t="s">
        <v>594</v>
      </c>
      <c r="C602" s="13" t="s">
        <v>1444</v>
      </c>
      <c r="D602" s="13" t="s">
        <v>61</v>
      </c>
      <c r="E602" s="13" t="s">
        <v>906</v>
      </c>
      <c r="F602" s="13" t="s">
        <v>907</v>
      </c>
      <c r="G602" s="61" t="n">
        <v>395703903</v>
      </c>
      <c r="H602" s="13" t="s">
        <v>1435</v>
      </c>
      <c r="I602" s="13"/>
      <c r="J602" s="13" t="s">
        <v>1466</v>
      </c>
      <c r="K602" s="13" t="s">
        <v>607</v>
      </c>
      <c r="L602" s="13" t="s">
        <v>1443</v>
      </c>
      <c r="M602" s="13"/>
    </row>
    <row r="603" customFormat="false" ht="15" hidden="false" customHeight="false" outlineLevel="0" collapsed="false">
      <c r="A603" s="13" t="s">
        <v>595</v>
      </c>
      <c r="B603" s="13" t="s">
        <v>594</v>
      </c>
      <c r="C603" s="13" t="s">
        <v>1446</v>
      </c>
      <c r="D603" s="13" t="s">
        <v>61</v>
      </c>
      <c r="E603" s="13" t="s">
        <v>906</v>
      </c>
      <c r="F603" s="13" t="s">
        <v>907</v>
      </c>
      <c r="G603" s="61" t="n">
        <v>-445119396</v>
      </c>
      <c r="H603" s="13" t="s">
        <v>1435</v>
      </c>
      <c r="I603" s="13"/>
      <c r="J603" s="13" t="s">
        <v>1467</v>
      </c>
      <c r="K603" s="13" t="s">
        <v>608</v>
      </c>
      <c r="L603" s="13" t="s">
        <v>1443</v>
      </c>
      <c r="M603" s="13"/>
    </row>
    <row r="604" customFormat="false" ht="15" hidden="false" customHeight="false" outlineLevel="0" collapsed="false">
      <c r="A604" s="13" t="s">
        <v>595</v>
      </c>
      <c r="B604" s="13" t="s">
        <v>594</v>
      </c>
      <c r="C604" s="13" t="s">
        <v>1448</v>
      </c>
      <c r="D604" s="13" t="s">
        <v>61</v>
      </c>
      <c r="E604" s="13" t="s">
        <v>906</v>
      </c>
      <c r="F604" s="13" t="s">
        <v>907</v>
      </c>
      <c r="G604" s="61" t="n">
        <v>1288057209</v>
      </c>
      <c r="H604" s="13" t="s">
        <v>1435</v>
      </c>
      <c r="I604" s="13"/>
      <c r="J604" s="13" t="s">
        <v>1468</v>
      </c>
      <c r="K604" s="13" t="s">
        <v>609</v>
      </c>
      <c r="L604" s="13" t="s">
        <v>1443</v>
      </c>
      <c r="M604" s="13"/>
    </row>
    <row r="605" customFormat="false" ht="15" hidden="false" customHeight="false" outlineLevel="0" collapsed="false">
      <c r="A605" s="13" t="s">
        <v>595</v>
      </c>
      <c r="B605" s="13" t="s">
        <v>594</v>
      </c>
      <c r="C605" s="13" t="s">
        <v>1434</v>
      </c>
      <c r="D605" s="13" t="s">
        <v>61</v>
      </c>
      <c r="E605" s="13" t="s">
        <v>909</v>
      </c>
      <c r="F605" s="13" t="s">
        <v>910</v>
      </c>
      <c r="G605" s="61" t="n">
        <v>-17619561583</v>
      </c>
      <c r="H605" s="13" t="s">
        <v>1435</v>
      </c>
      <c r="I605" s="13"/>
      <c r="J605" s="13" t="s">
        <v>1464</v>
      </c>
      <c r="K605" s="13" t="s">
        <v>1437</v>
      </c>
      <c r="L605" s="13" t="s">
        <v>1438</v>
      </c>
      <c r="M605" s="13"/>
    </row>
    <row r="606" customFormat="false" ht="15" hidden="false" customHeight="false" outlineLevel="0" collapsed="false">
      <c r="A606" s="13" t="s">
        <v>595</v>
      </c>
      <c r="B606" s="13" t="s">
        <v>594</v>
      </c>
      <c r="C606" s="13" t="s">
        <v>1434</v>
      </c>
      <c r="D606" s="13" t="s">
        <v>61</v>
      </c>
      <c r="E606" s="13" t="s">
        <v>912</v>
      </c>
      <c r="F606" s="13" t="s">
        <v>913</v>
      </c>
      <c r="G606" s="61" t="n">
        <v>1030000000000</v>
      </c>
      <c r="H606" s="13" t="s">
        <v>1435</v>
      </c>
      <c r="I606" s="13"/>
      <c r="J606" s="13" t="s">
        <v>1464</v>
      </c>
      <c r="K606" s="13" t="s">
        <v>1437</v>
      </c>
      <c r="L606" s="13" t="s">
        <v>1438</v>
      </c>
      <c r="M606" s="13"/>
    </row>
    <row r="607" customFormat="false" ht="15" hidden="false" customHeight="false" outlineLevel="0" collapsed="false">
      <c r="A607" s="13" t="s">
        <v>595</v>
      </c>
      <c r="B607" s="13" t="s">
        <v>594</v>
      </c>
      <c r="C607" s="13" t="s">
        <v>1434</v>
      </c>
      <c r="D607" s="13" t="s">
        <v>61</v>
      </c>
      <c r="E607" s="13" t="s">
        <v>915</v>
      </c>
      <c r="F607" s="13" t="s">
        <v>916</v>
      </c>
      <c r="G607" s="61" t="n">
        <v>-26715840668</v>
      </c>
      <c r="H607" s="13" t="s">
        <v>1435</v>
      </c>
      <c r="I607" s="13"/>
      <c r="J607" s="13" t="s">
        <v>1464</v>
      </c>
      <c r="K607" s="13" t="s">
        <v>1437</v>
      </c>
      <c r="L607" s="13" t="s">
        <v>1438</v>
      </c>
      <c r="M607" s="13"/>
    </row>
    <row r="608" customFormat="false" ht="15" hidden="false" customHeight="false" outlineLevel="0" collapsed="false">
      <c r="A608" s="13" t="s">
        <v>595</v>
      </c>
      <c r="B608" s="13" t="s">
        <v>594</v>
      </c>
      <c r="C608" s="13" t="s">
        <v>1434</v>
      </c>
      <c r="D608" s="13" t="s">
        <v>61</v>
      </c>
      <c r="E608" s="13" t="s">
        <v>921</v>
      </c>
      <c r="F608" s="13" t="s">
        <v>922</v>
      </c>
      <c r="G608" s="61" t="n">
        <v>970495601854</v>
      </c>
      <c r="H608" s="13" t="s">
        <v>1435</v>
      </c>
      <c r="I608" s="13"/>
      <c r="J608" s="13"/>
      <c r="K608" s="13" t="s">
        <v>1437</v>
      </c>
      <c r="L608" s="13" t="s">
        <v>1438</v>
      </c>
      <c r="M608" s="13" t="s">
        <v>1450</v>
      </c>
    </row>
    <row r="609" customFormat="false" ht="15" hidden="false" customHeight="false" outlineLevel="0" collapsed="false">
      <c r="A609" s="13" t="s">
        <v>595</v>
      </c>
      <c r="B609" s="13" t="s">
        <v>594</v>
      </c>
      <c r="C609" s="13" t="s">
        <v>1439</v>
      </c>
      <c r="D609" s="13" t="s">
        <v>61</v>
      </c>
      <c r="E609" s="13" t="s">
        <v>921</v>
      </c>
      <c r="F609" s="13" t="s">
        <v>922</v>
      </c>
      <c r="G609" s="61" t="n">
        <v>727451787424</v>
      </c>
      <c r="H609" s="13" t="s">
        <v>1435</v>
      </c>
      <c r="I609" s="13"/>
      <c r="J609" s="13"/>
      <c r="K609" s="13" t="s">
        <v>1441</v>
      </c>
      <c r="L609" s="13" t="s">
        <v>1438</v>
      </c>
      <c r="M609" s="13" t="s">
        <v>1450</v>
      </c>
    </row>
    <row r="610" customFormat="false" ht="15" hidden="false" customHeight="false" outlineLevel="0" collapsed="false">
      <c r="A610" s="13" t="s">
        <v>595</v>
      </c>
      <c r="B610" s="13" t="s">
        <v>594</v>
      </c>
      <c r="C610" s="13" t="s">
        <v>1442</v>
      </c>
      <c r="D610" s="13" t="s">
        <v>61</v>
      </c>
      <c r="E610" s="13" t="s">
        <v>921</v>
      </c>
      <c r="F610" s="13" t="s">
        <v>922</v>
      </c>
      <c r="G610" s="61" t="n">
        <v>249408214</v>
      </c>
      <c r="H610" s="13" t="s">
        <v>1435</v>
      </c>
      <c r="I610" s="13"/>
      <c r="J610" s="13"/>
      <c r="K610" s="13" t="s">
        <v>606</v>
      </c>
      <c r="L610" s="13" t="s">
        <v>1443</v>
      </c>
      <c r="M610" s="13" t="s">
        <v>1450</v>
      </c>
    </row>
    <row r="611" customFormat="false" ht="15" hidden="false" customHeight="false" outlineLevel="0" collapsed="false">
      <c r="A611" s="13" t="s">
        <v>595</v>
      </c>
      <c r="B611" s="13" t="s">
        <v>594</v>
      </c>
      <c r="C611" s="13" t="s">
        <v>1444</v>
      </c>
      <c r="D611" s="13" t="s">
        <v>61</v>
      </c>
      <c r="E611" s="13" t="s">
        <v>921</v>
      </c>
      <c r="F611" s="13" t="s">
        <v>922</v>
      </c>
      <c r="G611" s="61" t="n">
        <v>-2921809524</v>
      </c>
      <c r="H611" s="13" t="s">
        <v>1435</v>
      </c>
      <c r="I611" s="13"/>
      <c r="J611" s="13"/>
      <c r="K611" s="13" t="s">
        <v>607</v>
      </c>
      <c r="L611" s="13" t="s">
        <v>1443</v>
      </c>
      <c r="M611" s="13" t="s">
        <v>1450</v>
      </c>
    </row>
    <row r="612" customFormat="false" ht="15" hidden="false" customHeight="false" outlineLevel="0" collapsed="false">
      <c r="A612" s="13" t="s">
        <v>595</v>
      </c>
      <c r="B612" s="13" t="s">
        <v>594</v>
      </c>
      <c r="C612" s="13" t="s">
        <v>1446</v>
      </c>
      <c r="D612" s="13" t="s">
        <v>61</v>
      </c>
      <c r="E612" s="13" t="s">
        <v>921</v>
      </c>
      <c r="F612" s="13" t="s">
        <v>922</v>
      </c>
      <c r="G612" s="61" t="n">
        <v>-6208243672</v>
      </c>
      <c r="H612" s="13" t="s">
        <v>1435</v>
      </c>
      <c r="I612" s="13"/>
      <c r="J612" s="13"/>
      <c r="K612" s="13" t="s">
        <v>608</v>
      </c>
      <c r="L612" s="13" t="s">
        <v>1443</v>
      </c>
      <c r="M612" s="13" t="s">
        <v>1450</v>
      </c>
    </row>
    <row r="613" customFormat="false" ht="15" hidden="false" customHeight="false" outlineLevel="0" collapsed="false">
      <c r="A613" s="13" t="s">
        <v>595</v>
      </c>
      <c r="B613" s="13" t="s">
        <v>594</v>
      </c>
      <c r="C613" s="13" t="s">
        <v>1448</v>
      </c>
      <c r="D613" s="13" t="s">
        <v>61</v>
      </c>
      <c r="E613" s="13" t="s">
        <v>921</v>
      </c>
      <c r="F613" s="13" t="s">
        <v>922</v>
      </c>
      <c r="G613" s="61" t="n">
        <v>143453828301</v>
      </c>
      <c r="H613" s="13" t="s">
        <v>1435</v>
      </c>
      <c r="I613" s="13"/>
      <c r="J613" s="13"/>
      <c r="K613" s="13" t="s">
        <v>609</v>
      </c>
      <c r="L613" s="13" t="s">
        <v>1443</v>
      </c>
      <c r="M613" s="13" t="s">
        <v>1450</v>
      </c>
    </row>
    <row r="614" customFormat="false" ht="15" hidden="false" customHeight="false" outlineLevel="0" collapsed="false">
      <c r="A614" s="13" t="s">
        <v>595</v>
      </c>
      <c r="B614" s="13" t="s">
        <v>594</v>
      </c>
      <c r="C614" s="13" t="s">
        <v>1434</v>
      </c>
      <c r="D614" s="13" t="s">
        <v>61</v>
      </c>
      <c r="E614" s="13" t="s">
        <v>923</v>
      </c>
      <c r="F614" s="13" t="s">
        <v>464</v>
      </c>
      <c r="G614" s="61" t="n">
        <v>518530272130</v>
      </c>
      <c r="H614" s="13" t="s">
        <v>1435</v>
      </c>
      <c r="I614" s="13"/>
      <c r="J614" s="13"/>
      <c r="K614" s="13" t="s">
        <v>1437</v>
      </c>
      <c r="L614" s="13" t="s">
        <v>1438</v>
      </c>
      <c r="M614" s="13" t="s">
        <v>1450</v>
      </c>
    </row>
    <row r="615" customFormat="false" ht="15" hidden="false" customHeight="false" outlineLevel="0" collapsed="false">
      <c r="A615" s="13" t="s">
        <v>595</v>
      </c>
      <c r="B615" s="13" t="s">
        <v>594</v>
      </c>
      <c r="C615" s="13" t="s">
        <v>1439</v>
      </c>
      <c r="D615" s="13" t="s">
        <v>61</v>
      </c>
      <c r="E615" s="13" t="s">
        <v>923</v>
      </c>
      <c r="F615" s="13" t="s">
        <v>464</v>
      </c>
      <c r="G615" s="61" t="n">
        <v>14267537257</v>
      </c>
      <c r="H615" s="13" t="s">
        <v>1435</v>
      </c>
      <c r="I615" s="13"/>
      <c r="J615" s="13"/>
      <c r="K615" s="13" t="s">
        <v>1441</v>
      </c>
      <c r="L615" s="13" t="s">
        <v>1438</v>
      </c>
      <c r="M615" s="13" t="s">
        <v>1450</v>
      </c>
    </row>
    <row r="616" customFormat="false" ht="15" hidden="false" customHeight="false" outlineLevel="0" collapsed="false">
      <c r="A616" s="13" t="s">
        <v>595</v>
      </c>
      <c r="B616" s="13" t="s">
        <v>594</v>
      </c>
      <c r="C616" s="13" t="s">
        <v>1442</v>
      </c>
      <c r="D616" s="13" t="s">
        <v>61</v>
      </c>
      <c r="E616" s="13" t="s">
        <v>923</v>
      </c>
      <c r="F616" s="13" t="s">
        <v>464</v>
      </c>
      <c r="G616" s="61" t="n">
        <v>-8759800571</v>
      </c>
      <c r="H616" s="13" t="s">
        <v>1435</v>
      </c>
      <c r="I616" s="13"/>
      <c r="J616" s="13"/>
      <c r="K616" s="13" t="s">
        <v>606</v>
      </c>
      <c r="L616" s="13" t="s">
        <v>1443</v>
      </c>
      <c r="M616" s="13" t="s">
        <v>1450</v>
      </c>
    </row>
    <row r="617" customFormat="false" ht="15" hidden="false" customHeight="false" outlineLevel="0" collapsed="false">
      <c r="A617" s="13" t="s">
        <v>595</v>
      </c>
      <c r="B617" s="13" t="s">
        <v>594</v>
      </c>
      <c r="C617" s="13" t="s">
        <v>1444</v>
      </c>
      <c r="D617" s="13" t="s">
        <v>61</v>
      </c>
      <c r="E617" s="13" t="s">
        <v>923</v>
      </c>
      <c r="F617" s="13" t="s">
        <v>464</v>
      </c>
      <c r="G617" s="61" t="n">
        <v>-7445084642</v>
      </c>
      <c r="H617" s="13" t="s">
        <v>1435</v>
      </c>
      <c r="I617" s="13"/>
      <c r="J617" s="13"/>
      <c r="K617" s="13" t="s">
        <v>607</v>
      </c>
      <c r="L617" s="13" t="s">
        <v>1443</v>
      </c>
      <c r="M617" s="13" t="s">
        <v>1450</v>
      </c>
    </row>
    <row r="618" customFormat="false" ht="15" hidden="false" customHeight="false" outlineLevel="0" collapsed="false">
      <c r="A618" s="13" t="s">
        <v>595</v>
      </c>
      <c r="B618" s="13" t="s">
        <v>594</v>
      </c>
      <c r="C618" s="13" t="s">
        <v>1446</v>
      </c>
      <c r="D618" s="13" t="s">
        <v>61</v>
      </c>
      <c r="E618" s="13" t="s">
        <v>923</v>
      </c>
      <c r="F618" s="13" t="s">
        <v>464</v>
      </c>
      <c r="G618" s="61" t="n">
        <v>-76693285106</v>
      </c>
      <c r="H618" s="13" t="s">
        <v>1435</v>
      </c>
      <c r="I618" s="13"/>
      <c r="J618" s="13"/>
      <c r="K618" s="13" t="s">
        <v>608</v>
      </c>
      <c r="L618" s="13" t="s">
        <v>1443</v>
      </c>
      <c r="M618" s="13" t="s">
        <v>1450</v>
      </c>
    </row>
    <row r="619" customFormat="false" ht="15" hidden="false" customHeight="false" outlineLevel="0" collapsed="false">
      <c r="A619" s="13" t="s">
        <v>595</v>
      </c>
      <c r="B619" s="13" t="s">
        <v>594</v>
      </c>
      <c r="C619" s="13" t="s">
        <v>1448</v>
      </c>
      <c r="D619" s="13" t="s">
        <v>61</v>
      </c>
      <c r="E619" s="13" t="s">
        <v>923</v>
      </c>
      <c r="F619" s="13" t="s">
        <v>464</v>
      </c>
      <c r="G619" s="61" t="n">
        <v>-28865568968</v>
      </c>
      <c r="H619" s="13" t="s">
        <v>1435</v>
      </c>
      <c r="I619" s="13"/>
      <c r="J619" s="13"/>
      <c r="K619" s="13" t="s">
        <v>609</v>
      </c>
      <c r="L619" s="13" t="s">
        <v>1443</v>
      </c>
      <c r="M619" s="13" t="s">
        <v>1450</v>
      </c>
    </row>
    <row r="620" customFormat="false" ht="15" hidden="false" customHeight="false" outlineLevel="0" collapsed="false">
      <c r="A620" s="13" t="s">
        <v>595</v>
      </c>
      <c r="B620" s="13" t="s">
        <v>594</v>
      </c>
      <c r="C620" s="13" t="s">
        <v>1434</v>
      </c>
      <c r="D620" s="13" t="s">
        <v>61</v>
      </c>
      <c r="E620" s="13" t="s">
        <v>924</v>
      </c>
      <c r="F620" s="13" t="s">
        <v>466</v>
      </c>
      <c r="G620" s="61" t="n">
        <v>6949421674</v>
      </c>
      <c r="H620" s="13" t="s">
        <v>1435</v>
      </c>
      <c r="I620" s="13"/>
      <c r="J620" s="13" t="s">
        <v>1464</v>
      </c>
      <c r="K620" s="13" t="s">
        <v>1437</v>
      </c>
      <c r="L620" s="13" t="s">
        <v>1438</v>
      </c>
      <c r="M620" s="13"/>
    </row>
    <row r="621" customFormat="false" ht="15" hidden="false" customHeight="false" outlineLevel="0" collapsed="false">
      <c r="A621" s="13" t="s">
        <v>595</v>
      </c>
      <c r="B621" s="13" t="s">
        <v>594</v>
      </c>
      <c r="C621" s="13" t="s">
        <v>1439</v>
      </c>
      <c r="D621" s="13" t="s">
        <v>61</v>
      </c>
      <c r="E621" s="13" t="s">
        <v>924</v>
      </c>
      <c r="F621" s="13" t="s">
        <v>466</v>
      </c>
      <c r="G621" s="61" t="n">
        <v>525479693804</v>
      </c>
      <c r="H621" s="13" t="s">
        <v>1435</v>
      </c>
      <c r="I621" s="13"/>
      <c r="J621" s="13" t="s">
        <v>1465</v>
      </c>
      <c r="K621" s="13" t="s">
        <v>1441</v>
      </c>
      <c r="L621" s="13" t="s">
        <v>1438</v>
      </c>
      <c r="M621" s="13"/>
    </row>
    <row r="622" customFormat="false" ht="15" hidden="false" customHeight="false" outlineLevel="0" collapsed="false">
      <c r="A622" s="13" t="s">
        <v>595</v>
      </c>
      <c r="B622" s="13" t="s">
        <v>594</v>
      </c>
      <c r="C622" s="13" t="s">
        <v>1442</v>
      </c>
      <c r="D622" s="13" t="s">
        <v>61</v>
      </c>
      <c r="E622" s="13" t="s">
        <v>924</v>
      </c>
      <c r="F622" s="13" t="s">
        <v>466</v>
      </c>
      <c r="G622" s="61" t="n">
        <v>542400475238</v>
      </c>
      <c r="H622" s="13" t="s">
        <v>1435</v>
      </c>
      <c r="I622" s="13"/>
      <c r="J622" s="13" t="s">
        <v>1465</v>
      </c>
      <c r="K622" s="13" t="s">
        <v>606</v>
      </c>
      <c r="L622" s="13" t="s">
        <v>1443</v>
      </c>
      <c r="M622" s="13"/>
    </row>
    <row r="623" customFormat="false" ht="15" hidden="false" customHeight="false" outlineLevel="0" collapsed="false">
      <c r="A623" s="13" t="s">
        <v>595</v>
      </c>
      <c r="B623" s="13" t="s">
        <v>594</v>
      </c>
      <c r="C623" s="13" t="s">
        <v>1444</v>
      </c>
      <c r="D623" s="13" t="s">
        <v>61</v>
      </c>
      <c r="E623" s="13" t="s">
        <v>924</v>
      </c>
      <c r="F623" s="13" t="s">
        <v>466</v>
      </c>
      <c r="G623" s="61" t="n">
        <v>533208033479</v>
      </c>
      <c r="H623" s="13" t="s">
        <v>1435</v>
      </c>
      <c r="I623" s="13"/>
      <c r="J623" s="13" t="s">
        <v>1466</v>
      </c>
      <c r="K623" s="13" t="s">
        <v>607</v>
      </c>
      <c r="L623" s="13" t="s">
        <v>1443</v>
      </c>
      <c r="M623" s="13"/>
    </row>
    <row r="624" customFormat="false" ht="15" hidden="false" customHeight="false" outlineLevel="0" collapsed="false">
      <c r="A624" s="13" t="s">
        <v>595</v>
      </c>
      <c r="B624" s="13" t="s">
        <v>594</v>
      </c>
      <c r="C624" s="13" t="s">
        <v>1446</v>
      </c>
      <c r="D624" s="13" t="s">
        <v>61</v>
      </c>
      <c r="E624" s="13" t="s">
        <v>924</v>
      </c>
      <c r="F624" s="13" t="s">
        <v>466</v>
      </c>
      <c r="G624" s="61" t="n">
        <v>525762948837</v>
      </c>
      <c r="H624" s="13" t="s">
        <v>1435</v>
      </c>
      <c r="I624" s="13"/>
      <c r="J624" s="13" t="s">
        <v>1467</v>
      </c>
      <c r="K624" s="13" t="s">
        <v>608</v>
      </c>
      <c r="L624" s="13" t="s">
        <v>1443</v>
      </c>
      <c r="M624" s="13"/>
    </row>
    <row r="625" customFormat="false" ht="15" hidden="false" customHeight="false" outlineLevel="0" collapsed="false">
      <c r="A625" s="13" t="s">
        <v>595</v>
      </c>
      <c r="B625" s="13" t="s">
        <v>594</v>
      </c>
      <c r="C625" s="13" t="s">
        <v>1448</v>
      </c>
      <c r="D625" s="13" t="s">
        <v>61</v>
      </c>
      <c r="E625" s="13" t="s">
        <v>924</v>
      </c>
      <c r="F625" s="13" t="s">
        <v>466</v>
      </c>
      <c r="G625" s="61" t="n">
        <v>449069663731</v>
      </c>
      <c r="H625" s="13" t="s">
        <v>1435</v>
      </c>
      <c r="I625" s="13"/>
      <c r="J625" s="13" t="s">
        <v>1468</v>
      </c>
      <c r="K625" s="13" t="s">
        <v>609</v>
      </c>
      <c r="L625" s="13" t="s">
        <v>1443</v>
      </c>
      <c r="M625" s="13"/>
    </row>
    <row r="626" customFormat="false" ht="15" hidden="false" customHeight="false" outlineLevel="0" collapsed="false">
      <c r="A626" s="13" t="s">
        <v>595</v>
      </c>
      <c r="B626" s="13" t="s">
        <v>594</v>
      </c>
      <c r="C626" s="13" t="s">
        <v>1434</v>
      </c>
      <c r="D626" s="13" t="s">
        <v>61</v>
      </c>
      <c r="E626" s="13" t="s">
        <v>926</v>
      </c>
      <c r="F626" s="13" t="s">
        <v>927</v>
      </c>
      <c r="G626" s="61" t="n">
        <v>0</v>
      </c>
      <c r="H626" s="13" t="s">
        <v>1435</v>
      </c>
      <c r="I626" s="13"/>
      <c r="J626" s="13" t="s">
        <v>1464</v>
      </c>
      <c r="K626" s="13" t="s">
        <v>1437</v>
      </c>
      <c r="L626" s="13" t="s">
        <v>1438</v>
      </c>
      <c r="M626" s="13"/>
    </row>
    <row r="627" customFormat="false" ht="15" hidden="false" customHeight="false" outlineLevel="0" collapsed="false">
      <c r="A627" s="13" t="s">
        <v>595</v>
      </c>
      <c r="B627" s="13" t="s">
        <v>594</v>
      </c>
      <c r="C627" s="13" t="s">
        <v>1439</v>
      </c>
      <c r="D627" s="13" t="s">
        <v>61</v>
      </c>
      <c r="E627" s="13" t="s">
        <v>926</v>
      </c>
      <c r="F627" s="13" t="s">
        <v>927</v>
      </c>
      <c r="G627" s="61" t="n">
        <v>2653244177</v>
      </c>
      <c r="H627" s="13" t="s">
        <v>1435</v>
      </c>
      <c r="I627" s="13"/>
      <c r="J627" s="13" t="s">
        <v>1465</v>
      </c>
      <c r="K627" s="13" t="s">
        <v>1441</v>
      </c>
      <c r="L627" s="13" t="s">
        <v>1438</v>
      </c>
      <c r="M627" s="13"/>
    </row>
    <row r="628" customFormat="false" ht="15" hidden="false" customHeight="false" outlineLevel="0" collapsed="false">
      <c r="A628" s="13" t="s">
        <v>595</v>
      </c>
      <c r="B628" s="13" t="s">
        <v>594</v>
      </c>
      <c r="C628" s="13" t="s">
        <v>1442</v>
      </c>
      <c r="D628" s="13" t="s">
        <v>61</v>
      </c>
      <c r="E628" s="13" t="s">
        <v>926</v>
      </c>
      <c r="F628" s="13" t="s">
        <v>927</v>
      </c>
      <c r="G628" s="61" t="n">
        <v>-432641188</v>
      </c>
      <c r="H628" s="13" t="s">
        <v>1435</v>
      </c>
      <c r="I628" s="13"/>
      <c r="J628" s="13" t="s">
        <v>1465</v>
      </c>
      <c r="K628" s="13" t="s">
        <v>606</v>
      </c>
      <c r="L628" s="13" t="s">
        <v>1443</v>
      </c>
      <c r="M628" s="13"/>
    </row>
    <row r="629" customFormat="false" ht="15" hidden="false" customHeight="false" outlineLevel="0" collapsed="false">
      <c r="A629" s="13" t="s">
        <v>595</v>
      </c>
      <c r="B629" s="13" t="s">
        <v>594</v>
      </c>
      <c r="C629" s="13" t="s">
        <v>1444</v>
      </c>
      <c r="D629" s="13" t="s">
        <v>61</v>
      </c>
      <c r="E629" s="13" t="s">
        <v>926</v>
      </c>
      <c r="F629" s="13" t="s">
        <v>927</v>
      </c>
      <c r="G629" s="61" t="n">
        <v>0</v>
      </c>
      <c r="H629" s="13" t="s">
        <v>1435</v>
      </c>
      <c r="I629" s="13"/>
      <c r="J629" s="13" t="s">
        <v>1466</v>
      </c>
      <c r="K629" s="13" t="s">
        <v>607</v>
      </c>
      <c r="L629" s="13" t="s">
        <v>1443</v>
      </c>
      <c r="M629" s="13"/>
    </row>
    <row r="630" customFormat="false" ht="15" hidden="false" customHeight="false" outlineLevel="0" collapsed="false">
      <c r="A630" s="13" t="s">
        <v>595</v>
      </c>
      <c r="B630" s="13" t="s">
        <v>594</v>
      </c>
      <c r="C630" s="13" t="s">
        <v>1434</v>
      </c>
      <c r="D630" s="13" t="s">
        <v>61</v>
      </c>
      <c r="E630" s="13" t="s">
        <v>929</v>
      </c>
      <c r="F630" s="13" t="s">
        <v>469</v>
      </c>
      <c r="G630" s="61" t="n">
        <v>525479693804</v>
      </c>
      <c r="H630" s="13" t="s">
        <v>1435</v>
      </c>
      <c r="I630" s="13"/>
      <c r="J630" s="13"/>
      <c r="K630" s="13" t="s">
        <v>1437</v>
      </c>
      <c r="L630" s="13" t="s">
        <v>1438</v>
      </c>
      <c r="M630" s="13" t="s">
        <v>1450</v>
      </c>
    </row>
    <row r="631" customFormat="false" ht="15" hidden="false" customHeight="false" outlineLevel="0" collapsed="false">
      <c r="A631" s="13" t="s">
        <v>595</v>
      </c>
      <c r="B631" s="13" t="s">
        <v>594</v>
      </c>
      <c r="C631" s="13" t="s">
        <v>1439</v>
      </c>
      <c r="D631" s="13" t="s">
        <v>61</v>
      </c>
      <c r="E631" s="13" t="s">
        <v>929</v>
      </c>
      <c r="F631" s="13" t="s">
        <v>469</v>
      </c>
      <c r="G631" s="61" t="n">
        <v>542400475238</v>
      </c>
      <c r="H631" s="13" t="s">
        <v>1435</v>
      </c>
      <c r="I631" s="13"/>
      <c r="J631" s="13"/>
      <c r="K631" s="13" t="s">
        <v>1441</v>
      </c>
      <c r="L631" s="13" t="s">
        <v>1438</v>
      </c>
      <c r="M631" s="13" t="s">
        <v>1450</v>
      </c>
    </row>
    <row r="632" customFormat="false" ht="15" hidden="false" customHeight="false" outlineLevel="0" collapsed="false">
      <c r="A632" s="13" t="s">
        <v>595</v>
      </c>
      <c r="B632" s="13" t="s">
        <v>594</v>
      </c>
      <c r="C632" s="13" t="s">
        <v>1442</v>
      </c>
      <c r="D632" s="13" t="s">
        <v>61</v>
      </c>
      <c r="E632" s="13" t="s">
        <v>929</v>
      </c>
      <c r="F632" s="13" t="s">
        <v>469</v>
      </c>
      <c r="G632" s="61" t="n">
        <v>533208033479</v>
      </c>
      <c r="H632" s="13" t="s">
        <v>1435</v>
      </c>
      <c r="I632" s="13"/>
      <c r="J632" s="13"/>
      <c r="K632" s="13" t="s">
        <v>606</v>
      </c>
      <c r="L632" s="13" t="s">
        <v>1443</v>
      </c>
      <c r="M632" s="13" t="s">
        <v>1450</v>
      </c>
    </row>
    <row r="633" customFormat="false" ht="15" hidden="false" customHeight="false" outlineLevel="0" collapsed="false">
      <c r="A633" s="13" t="s">
        <v>595</v>
      </c>
      <c r="B633" s="13" t="s">
        <v>594</v>
      </c>
      <c r="C633" s="13" t="s">
        <v>1444</v>
      </c>
      <c r="D633" s="13" t="s">
        <v>61</v>
      </c>
      <c r="E633" s="13" t="s">
        <v>929</v>
      </c>
      <c r="F633" s="13" t="s">
        <v>469</v>
      </c>
      <c r="G633" s="61" t="n">
        <v>525762948837</v>
      </c>
      <c r="H633" s="13" t="s">
        <v>1435</v>
      </c>
      <c r="I633" s="13"/>
      <c r="J633" s="13"/>
      <c r="K633" s="13" t="s">
        <v>607</v>
      </c>
      <c r="L633" s="13" t="s">
        <v>1443</v>
      </c>
      <c r="M633" s="13" t="s">
        <v>1450</v>
      </c>
    </row>
    <row r="634" customFormat="false" ht="15" hidden="false" customHeight="false" outlineLevel="0" collapsed="false">
      <c r="A634" s="13" t="s">
        <v>595</v>
      </c>
      <c r="B634" s="13" t="s">
        <v>594</v>
      </c>
      <c r="C634" s="13" t="s">
        <v>1446</v>
      </c>
      <c r="D634" s="13" t="s">
        <v>61</v>
      </c>
      <c r="E634" s="13" t="s">
        <v>929</v>
      </c>
      <c r="F634" s="13" t="s">
        <v>469</v>
      </c>
      <c r="G634" s="61" t="n">
        <v>449069663731</v>
      </c>
      <c r="H634" s="13" t="s">
        <v>1435</v>
      </c>
      <c r="I634" s="13"/>
      <c r="J634" s="13"/>
      <c r="K634" s="13" t="s">
        <v>608</v>
      </c>
      <c r="L634" s="13" t="s">
        <v>1443</v>
      </c>
      <c r="M634" s="13" t="s">
        <v>1450</v>
      </c>
    </row>
    <row r="635" customFormat="false" ht="15" hidden="false" customHeight="false" outlineLevel="0" collapsed="false">
      <c r="A635" s="13" t="s">
        <v>595</v>
      </c>
      <c r="B635" s="13" t="s">
        <v>594</v>
      </c>
      <c r="C635" s="13" t="s">
        <v>1448</v>
      </c>
      <c r="D635" s="13" t="s">
        <v>61</v>
      </c>
      <c r="E635" s="13" t="s">
        <v>929</v>
      </c>
      <c r="F635" s="13" t="s">
        <v>469</v>
      </c>
      <c r="G635" s="61" t="n">
        <v>420204094763</v>
      </c>
      <c r="H635" s="13" t="s">
        <v>1435</v>
      </c>
      <c r="I635" s="13"/>
      <c r="J635" s="13"/>
      <c r="K635" s="13" t="s">
        <v>609</v>
      </c>
      <c r="L635" s="13" t="s">
        <v>1443</v>
      </c>
      <c r="M635" s="13" t="s">
        <v>1450</v>
      </c>
    </row>
    <row r="636" customFormat="false" ht="15" hidden="false" customHeight="false" outlineLevel="0" collapsed="false">
      <c r="A636" s="13" t="s">
        <v>595</v>
      </c>
      <c r="B636" s="13" t="s">
        <v>594</v>
      </c>
      <c r="C636" s="13" t="s">
        <v>1444</v>
      </c>
      <c r="D636" s="13" t="s">
        <v>61</v>
      </c>
      <c r="E636" s="13" t="s">
        <v>930</v>
      </c>
      <c r="F636" s="13" t="s">
        <v>931</v>
      </c>
      <c r="G636" s="61" t="n">
        <v>-6192760663</v>
      </c>
      <c r="H636" s="13" t="s">
        <v>1435</v>
      </c>
      <c r="I636" s="13"/>
      <c r="J636" s="13" t="s">
        <v>1466</v>
      </c>
      <c r="K636" s="13" t="s">
        <v>607</v>
      </c>
      <c r="L636" s="13" t="s">
        <v>1443</v>
      </c>
      <c r="M636" s="13"/>
    </row>
    <row r="637" customFormat="false" ht="15" hidden="false" customHeight="false" outlineLevel="0" collapsed="false">
      <c r="A637" s="13" t="s">
        <v>595</v>
      </c>
      <c r="B637" s="13" t="s">
        <v>594</v>
      </c>
      <c r="C637" s="13" t="s">
        <v>1446</v>
      </c>
      <c r="D637" s="13" t="s">
        <v>61</v>
      </c>
      <c r="E637" s="13" t="s">
        <v>930</v>
      </c>
      <c r="F637" s="13" t="s">
        <v>931</v>
      </c>
      <c r="G637" s="61" t="n">
        <v>-34493786864</v>
      </c>
      <c r="H637" s="13" t="s">
        <v>1435</v>
      </c>
      <c r="I637" s="13"/>
      <c r="J637" s="13" t="s">
        <v>1467</v>
      </c>
      <c r="K637" s="13" t="s">
        <v>608</v>
      </c>
      <c r="L637" s="13" t="s">
        <v>1443</v>
      </c>
      <c r="M637" s="13"/>
    </row>
    <row r="638" customFormat="false" ht="15" hidden="false" customHeight="false" outlineLevel="0" collapsed="false">
      <c r="A638" s="13" t="s">
        <v>595</v>
      </c>
      <c r="B638" s="13" t="s">
        <v>594</v>
      </c>
      <c r="C638" s="13" t="s">
        <v>1448</v>
      </c>
      <c r="D638" s="13" t="s">
        <v>61</v>
      </c>
      <c r="E638" s="13" t="s">
        <v>930</v>
      </c>
      <c r="F638" s="13" t="s">
        <v>931</v>
      </c>
      <c r="G638" s="61" t="n">
        <v>105279321597</v>
      </c>
      <c r="H638" s="13" t="s">
        <v>1435</v>
      </c>
      <c r="I638" s="13"/>
      <c r="J638" s="13" t="s">
        <v>1468</v>
      </c>
      <c r="K638" s="13" t="s">
        <v>609</v>
      </c>
      <c r="L638" s="13" t="s">
        <v>1443</v>
      </c>
      <c r="M638" s="13"/>
    </row>
    <row r="639" customFormat="false" ht="15" hidden="false" customHeight="false" outlineLevel="0" collapsed="false">
      <c r="A639" s="13" t="s">
        <v>595</v>
      </c>
      <c r="B639" s="13" t="s">
        <v>594</v>
      </c>
      <c r="C639" s="13" t="s">
        <v>1434</v>
      </c>
      <c r="D639" s="13" t="s">
        <v>61</v>
      </c>
      <c r="E639" s="13" t="s">
        <v>933</v>
      </c>
      <c r="F639" s="13" t="s">
        <v>934</v>
      </c>
      <c r="G639" s="61" t="n">
        <v>50302794090</v>
      </c>
      <c r="H639" s="13" t="s">
        <v>1435</v>
      </c>
      <c r="I639" s="13"/>
      <c r="J639" s="13" t="s">
        <v>1464</v>
      </c>
      <c r="K639" s="13" t="s">
        <v>1437</v>
      </c>
      <c r="L639" s="13" t="s">
        <v>1438</v>
      </c>
      <c r="M639" s="13"/>
    </row>
    <row r="640" customFormat="false" ht="15" hidden="false" customHeight="false" outlineLevel="0" collapsed="false">
      <c r="A640" s="13" t="s">
        <v>595</v>
      </c>
      <c r="B640" s="13" t="s">
        <v>594</v>
      </c>
      <c r="C640" s="13" t="s">
        <v>1439</v>
      </c>
      <c r="D640" s="13" t="s">
        <v>61</v>
      </c>
      <c r="E640" s="13" t="s">
        <v>933</v>
      </c>
      <c r="F640" s="13" t="s">
        <v>934</v>
      </c>
      <c r="G640" s="61" t="n">
        <v>47129089642</v>
      </c>
      <c r="H640" s="13" t="s">
        <v>1435</v>
      </c>
      <c r="I640" s="13"/>
      <c r="J640" s="13" t="s">
        <v>1465</v>
      </c>
      <c r="K640" s="13" t="s">
        <v>1441</v>
      </c>
      <c r="L640" s="13" t="s">
        <v>1438</v>
      </c>
      <c r="M640" s="13"/>
    </row>
    <row r="641" customFormat="false" ht="15" hidden="false" customHeight="false" outlineLevel="0" collapsed="false">
      <c r="A641" s="13" t="s">
        <v>595</v>
      </c>
      <c r="B641" s="13" t="s">
        <v>594</v>
      </c>
      <c r="C641" s="13" t="s">
        <v>1442</v>
      </c>
      <c r="D641" s="13" t="s">
        <v>61</v>
      </c>
      <c r="E641" s="13" t="s">
        <v>933</v>
      </c>
      <c r="F641" s="13" t="s">
        <v>934</v>
      </c>
      <c r="G641" s="61" t="n">
        <v>-48836369112</v>
      </c>
      <c r="H641" s="13" t="s">
        <v>1435</v>
      </c>
      <c r="I641" s="13"/>
      <c r="J641" s="13" t="s">
        <v>1465</v>
      </c>
      <c r="K641" s="13" t="s">
        <v>606</v>
      </c>
      <c r="L641" s="13" t="s">
        <v>1443</v>
      </c>
      <c r="M641" s="13"/>
    </row>
    <row r="642" customFormat="false" ht="15" hidden="false" customHeight="false" outlineLevel="0" collapsed="false">
      <c r="A642" s="13" t="s">
        <v>595</v>
      </c>
      <c r="B642" s="13" t="s">
        <v>594</v>
      </c>
      <c r="C642" s="13" t="s">
        <v>1444</v>
      </c>
      <c r="D642" s="13" t="s">
        <v>61</v>
      </c>
      <c r="E642" s="13" t="s">
        <v>933</v>
      </c>
      <c r="F642" s="13" t="s">
        <v>934</v>
      </c>
      <c r="G642" s="61" t="n">
        <v>-83033264168</v>
      </c>
      <c r="H642" s="13" t="s">
        <v>1435</v>
      </c>
      <c r="I642" s="13"/>
      <c r="J642" s="13" t="s">
        <v>1466</v>
      </c>
      <c r="K642" s="13" t="s">
        <v>607</v>
      </c>
      <c r="L642" s="13" t="s">
        <v>1443</v>
      </c>
      <c r="M642" s="13"/>
    </row>
    <row r="643" customFormat="false" ht="15" hidden="false" customHeight="false" outlineLevel="0" collapsed="false">
      <c r="A643" s="13" t="s">
        <v>595</v>
      </c>
      <c r="B643" s="13" t="s">
        <v>594</v>
      </c>
      <c r="C643" s="13" t="s">
        <v>1446</v>
      </c>
      <c r="D643" s="13" t="s">
        <v>61</v>
      </c>
      <c r="E643" s="13" t="s">
        <v>933</v>
      </c>
      <c r="F643" s="13" t="s">
        <v>934</v>
      </c>
      <c r="G643" s="61" t="n">
        <v>-113011184320</v>
      </c>
      <c r="H643" s="13" t="s">
        <v>1435</v>
      </c>
      <c r="I643" s="13"/>
      <c r="J643" s="13" t="s">
        <v>1467</v>
      </c>
      <c r="K643" s="13" t="s">
        <v>608</v>
      </c>
      <c r="L643" s="13" t="s">
        <v>1443</v>
      </c>
      <c r="M643" s="13"/>
    </row>
    <row r="644" customFormat="false" ht="15" hidden="false" customHeight="false" outlineLevel="0" collapsed="false">
      <c r="A644" s="13" t="s">
        <v>595</v>
      </c>
      <c r="B644" s="13" t="s">
        <v>594</v>
      </c>
      <c r="C644" s="13" t="s">
        <v>1448</v>
      </c>
      <c r="D644" s="13" t="s">
        <v>61</v>
      </c>
      <c r="E644" s="13" t="s">
        <v>933</v>
      </c>
      <c r="F644" s="13" t="s">
        <v>934</v>
      </c>
      <c r="G644" s="61" t="n">
        <v>45886904636</v>
      </c>
      <c r="H644" s="13" t="s">
        <v>1435</v>
      </c>
      <c r="I644" s="13"/>
      <c r="J644" s="13" t="s">
        <v>1468</v>
      </c>
      <c r="K644" s="13" t="s">
        <v>609</v>
      </c>
      <c r="L644" s="13" t="s">
        <v>1443</v>
      </c>
      <c r="M644" s="13"/>
    </row>
    <row r="645" customFormat="false" ht="15" hidden="false" customHeight="false" outlineLevel="0" collapsed="false">
      <c r="A645" s="13" t="s">
        <v>595</v>
      </c>
      <c r="B645" s="13" t="s">
        <v>594</v>
      </c>
      <c r="C645" s="13" t="s">
        <v>1434</v>
      </c>
      <c r="D645" s="13" t="s">
        <v>61</v>
      </c>
      <c r="E645" s="13" t="s">
        <v>936</v>
      </c>
      <c r="F645" s="13" t="s">
        <v>937</v>
      </c>
      <c r="G645" s="61" t="n">
        <v>-502268123814</v>
      </c>
      <c r="H645" s="13" t="s">
        <v>1435</v>
      </c>
      <c r="I645" s="13"/>
      <c r="J645" s="13" t="s">
        <v>1464</v>
      </c>
      <c r="K645" s="13" t="s">
        <v>1437</v>
      </c>
      <c r="L645" s="13" t="s">
        <v>1438</v>
      </c>
      <c r="M645" s="13"/>
    </row>
    <row r="646" customFormat="false" ht="15" hidden="false" customHeight="false" outlineLevel="0" collapsed="false">
      <c r="A646" s="13" t="s">
        <v>595</v>
      </c>
      <c r="B646" s="13" t="s">
        <v>594</v>
      </c>
      <c r="C646" s="13" t="s">
        <v>1439</v>
      </c>
      <c r="D646" s="13" t="s">
        <v>61</v>
      </c>
      <c r="E646" s="13" t="s">
        <v>936</v>
      </c>
      <c r="F646" s="13" t="s">
        <v>937</v>
      </c>
      <c r="G646" s="61" t="n">
        <v>-760313339809</v>
      </c>
      <c r="H646" s="13" t="s">
        <v>1435</v>
      </c>
      <c r="I646" s="13"/>
      <c r="J646" s="13" t="s">
        <v>1465</v>
      </c>
      <c r="K646" s="13" t="s">
        <v>1441</v>
      </c>
      <c r="L646" s="13" t="s">
        <v>1438</v>
      </c>
      <c r="M646" s="13"/>
    </row>
    <row r="647" customFormat="false" ht="15" hidden="false" customHeight="false" outlineLevel="0" collapsed="false">
      <c r="A647" s="13" t="s">
        <v>595</v>
      </c>
      <c r="B647" s="13" t="s">
        <v>594</v>
      </c>
      <c r="C647" s="13" t="s">
        <v>1442</v>
      </c>
      <c r="D647" s="13" t="s">
        <v>61</v>
      </c>
      <c r="E647" s="13" t="s">
        <v>936</v>
      </c>
      <c r="F647" s="13" t="s">
        <v>937</v>
      </c>
      <c r="G647" s="61" t="n">
        <v>39827160327</v>
      </c>
      <c r="H647" s="13" t="s">
        <v>1435</v>
      </c>
      <c r="I647" s="13"/>
      <c r="J647" s="13" t="s">
        <v>1465</v>
      </c>
      <c r="K647" s="13" t="s">
        <v>606</v>
      </c>
      <c r="L647" s="13" t="s">
        <v>1443</v>
      </c>
      <c r="M647" s="13"/>
    </row>
    <row r="648" customFormat="false" ht="15" hidden="false" customHeight="false" outlineLevel="0" collapsed="false">
      <c r="A648" s="13" t="s">
        <v>595</v>
      </c>
      <c r="B648" s="13" t="s">
        <v>594</v>
      </c>
      <c r="C648" s="13" t="s">
        <v>1444</v>
      </c>
      <c r="D648" s="13" t="s">
        <v>61</v>
      </c>
      <c r="E648" s="13" t="s">
        <v>936</v>
      </c>
      <c r="F648" s="13" t="s">
        <v>937</v>
      </c>
      <c r="G648" s="61" t="n">
        <v>78509989050</v>
      </c>
      <c r="H648" s="13" t="s">
        <v>1435</v>
      </c>
      <c r="I648" s="13"/>
      <c r="J648" s="13" t="s">
        <v>1466</v>
      </c>
      <c r="K648" s="13" t="s">
        <v>607</v>
      </c>
      <c r="L648" s="13" t="s">
        <v>1443</v>
      </c>
      <c r="M648" s="13"/>
    </row>
    <row r="649" customFormat="false" ht="15" hidden="false" customHeight="false" outlineLevel="0" collapsed="false">
      <c r="A649" s="13" t="s">
        <v>595</v>
      </c>
      <c r="B649" s="13" t="s">
        <v>594</v>
      </c>
      <c r="C649" s="13" t="s">
        <v>1446</v>
      </c>
      <c r="D649" s="13" t="s">
        <v>61</v>
      </c>
      <c r="E649" s="13" t="s">
        <v>936</v>
      </c>
      <c r="F649" s="13" t="s">
        <v>937</v>
      </c>
      <c r="G649" s="61" t="n">
        <v>42526142886</v>
      </c>
      <c r="H649" s="13" t="s">
        <v>1435</v>
      </c>
      <c r="I649" s="13"/>
      <c r="J649" s="13" t="s">
        <v>1467</v>
      </c>
      <c r="K649" s="13" t="s">
        <v>608</v>
      </c>
      <c r="L649" s="13" t="s">
        <v>1443</v>
      </c>
      <c r="M649" s="13"/>
    </row>
    <row r="650" customFormat="false" ht="15" hidden="false" customHeight="false" outlineLevel="0" collapsed="false">
      <c r="A650" s="13" t="s">
        <v>595</v>
      </c>
      <c r="B650" s="13" t="s">
        <v>594</v>
      </c>
      <c r="C650" s="13" t="s">
        <v>1448</v>
      </c>
      <c r="D650" s="13" t="s">
        <v>61</v>
      </c>
      <c r="E650" s="13" t="s">
        <v>936</v>
      </c>
      <c r="F650" s="13" t="s">
        <v>937</v>
      </c>
      <c r="G650" s="61" t="n">
        <v>-218206301905</v>
      </c>
      <c r="H650" s="13" t="s">
        <v>1435</v>
      </c>
      <c r="I650" s="13"/>
      <c r="J650" s="13" t="s">
        <v>1468</v>
      </c>
      <c r="K650" s="13" t="s">
        <v>609</v>
      </c>
      <c r="L650" s="13" t="s">
        <v>1443</v>
      </c>
      <c r="M650" s="13"/>
    </row>
    <row r="651" customFormat="false" ht="15" hidden="false" customHeight="false" outlineLevel="0" collapsed="false">
      <c r="A651" s="13" t="s">
        <v>595</v>
      </c>
      <c r="B651" s="13" t="s">
        <v>594</v>
      </c>
      <c r="C651" s="13" t="s">
        <v>1434</v>
      </c>
      <c r="D651" s="13" t="s">
        <v>61</v>
      </c>
      <c r="E651" s="13" t="s">
        <v>939</v>
      </c>
      <c r="F651" s="13" t="s">
        <v>940</v>
      </c>
      <c r="G651" s="61" t="n">
        <v>970495601854</v>
      </c>
      <c r="H651" s="13" t="s">
        <v>1435</v>
      </c>
      <c r="I651" s="13"/>
      <c r="J651" s="13" t="s">
        <v>1464</v>
      </c>
      <c r="K651" s="13" t="s">
        <v>1437</v>
      </c>
      <c r="L651" s="13" t="s">
        <v>1438</v>
      </c>
      <c r="M651" s="13"/>
    </row>
    <row r="652" customFormat="false" ht="15" hidden="false" customHeight="false" outlineLevel="0" collapsed="false">
      <c r="A652" s="13" t="s">
        <v>595</v>
      </c>
      <c r="B652" s="13" t="s">
        <v>594</v>
      </c>
      <c r="C652" s="13" t="s">
        <v>1439</v>
      </c>
      <c r="D652" s="13" t="s">
        <v>61</v>
      </c>
      <c r="E652" s="13" t="s">
        <v>939</v>
      </c>
      <c r="F652" s="13" t="s">
        <v>940</v>
      </c>
      <c r="G652" s="61" t="n">
        <v>727451787424</v>
      </c>
      <c r="H652" s="13" t="s">
        <v>1435</v>
      </c>
      <c r="I652" s="13"/>
      <c r="J652" s="13" t="s">
        <v>1465</v>
      </c>
      <c r="K652" s="13" t="s">
        <v>1441</v>
      </c>
      <c r="L652" s="13" t="s">
        <v>1438</v>
      </c>
      <c r="M652" s="13"/>
    </row>
    <row r="653" customFormat="false" ht="15" hidden="false" customHeight="false" outlineLevel="0" collapsed="false">
      <c r="A653" s="13" t="s">
        <v>595</v>
      </c>
      <c r="B653" s="13" t="s">
        <v>594</v>
      </c>
      <c r="C653" s="13" t="s">
        <v>1442</v>
      </c>
      <c r="D653" s="13" t="s">
        <v>61</v>
      </c>
      <c r="E653" s="13" t="s">
        <v>939</v>
      </c>
      <c r="F653" s="13" t="s">
        <v>940</v>
      </c>
      <c r="G653" s="61" t="n">
        <v>249408214</v>
      </c>
      <c r="H653" s="13" t="s">
        <v>1435</v>
      </c>
      <c r="I653" s="13"/>
      <c r="J653" s="13" t="s">
        <v>1465</v>
      </c>
      <c r="K653" s="13" t="s">
        <v>606</v>
      </c>
      <c r="L653" s="13" t="s">
        <v>1443</v>
      </c>
      <c r="M653" s="13"/>
    </row>
    <row r="654" customFormat="false" ht="15" hidden="false" customHeight="false" outlineLevel="0" collapsed="false">
      <c r="A654" s="13" t="s">
        <v>595</v>
      </c>
      <c r="B654" s="13" t="s">
        <v>594</v>
      </c>
      <c r="C654" s="13" t="s">
        <v>1444</v>
      </c>
      <c r="D654" s="13" t="s">
        <v>61</v>
      </c>
      <c r="E654" s="13" t="s">
        <v>939</v>
      </c>
      <c r="F654" s="13" t="s">
        <v>940</v>
      </c>
      <c r="G654" s="61" t="n">
        <v>-2921809524</v>
      </c>
      <c r="H654" s="13" t="s">
        <v>1435</v>
      </c>
      <c r="I654" s="13"/>
      <c r="J654" s="13" t="s">
        <v>1466</v>
      </c>
      <c r="K654" s="13" t="s">
        <v>607</v>
      </c>
      <c r="L654" s="13" t="s">
        <v>1443</v>
      </c>
      <c r="M654" s="13"/>
    </row>
    <row r="655" customFormat="false" ht="15" hidden="false" customHeight="false" outlineLevel="0" collapsed="false">
      <c r="A655" s="13" t="s">
        <v>595</v>
      </c>
      <c r="B655" s="13" t="s">
        <v>594</v>
      </c>
      <c r="C655" s="13" t="s">
        <v>1446</v>
      </c>
      <c r="D655" s="13" t="s">
        <v>61</v>
      </c>
      <c r="E655" s="13" t="s">
        <v>939</v>
      </c>
      <c r="F655" s="13" t="s">
        <v>940</v>
      </c>
      <c r="G655" s="61" t="n">
        <v>-6208243672</v>
      </c>
      <c r="H655" s="13" t="s">
        <v>1435</v>
      </c>
      <c r="I655" s="13"/>
      <c r="J655" s="13" t="s">
        <v>1467</v>
      </c>
      <c r="K655" s="13" t="s">
        <v>608</v>
      </c>
      <c r="L655" s="13" t="s">
        <v>1443</v>
      </c>
      <c r="M655" s="13"/>
    </row>
    <row r="656" customFormat="false" ht="15" hidden="false" customHeight="false" outlineLevel="0" collapsed="false">
      <c r="A656" s="13" t="s">
        <v>595</v>
      </c>
      <c r="B656" s="13" t="s">
        <v>594</v>
      </c>
      <c r="C656" s="13" t="s">
        <v>1448</v>
      </c>
      <c r="D656" s="13" t="s">
        <v>61</v>
      </c>
      <c r="E656" s="13" t="s">
        <v>939</v>
      </c>
      <c r="F656" s="13" t="s">
        <v>940</v>
      </c>
      <c r="G656" s="61" t="n">
        <v>143453828301</v>
      </c>
      <c r="H656" s="13" t="s">
        <v>1435</v>
      </c>
      <c r="I656" s="13"/>
      <c r="J656" s="13" t="s">
        <v>1468</v>
      </c>
      <c r="K656" s="13" t="s">
        <v>609</v>
      </c>
      <c r="L656" s="13" t="s">
        <v>1443</v>
      </c>
      <c r="M656" s="13"/>
    </row>
    <row r="657" customFormat="false" ht="15" hidden="false" customHeight="false" outlineLevel="0" collapsed="false">
      <c r="A657" s="13" t="s">
        <v>595</v>
      </c>
      <c r="B657" s="13" t="s">
        <v>594</v>
      </c>
      <c r="C657" s="13" t="s">
        <v>1434</v>
      </c>
      <c r="D657" s="13" t="s">
        <v>61</v>
      </c>
      <c r="E657" s="13" t="s">
        <v>942</v>
      </c>
      <c r="F657" s="13" t="s">
        <v>943</v>
      </c>
      <c r="G657" s="61" t="n">
        <v>518530272130</v>
      </c>
      <c r="H657" s="13" t="s">
        <v>1435</v>
      </c>
      <c r="I657" s="13"/>
      <c r="J657" s="13" t="s">
        <v>1464</v>
      </c>
      <c r="K657" s="13" t="s">
        <v>1437</v>
      </c>
      <c r="L657" s="13" t="s">
        <v>1438</v>
      </c>
      <c r="M657" s="13"/>
    </row>
    <row r="658" customFormat="false" ht="15" hidden="false" customHeight="false" outlineLevel="0" collapsed="false">
      <c r="A658" s="13" t="s">
        <v>595</v>
      </c>
      <c r="B658" s="13" t="s">
        <v>594</v>
      </c>
      <c r="C658" s="13" t="s">
        <v>1439</v>
      </c>
      <c r="D658" s="13" t="s">
        <v>61</v>
      </c>
      <c r="E658" s="13" t="s">
        <v>942</v>
      </c>
      <c r="F658" s="13" t="s">
        <v>943</v>
      </c>
      <c r="G658" s="61" t="n">
        <v>14267537257</v>
      </c>
      <c r="H658" s="13" t="s">
        <v>1435</v>
      </c>
      <c r="I658" s="13"/>
      <c r="J658" s="13" t="s">
        <v>1465</v>
      </c>
      <c r="K658" s="13" t="s">
        <v>1441</v>
      </c>
      <c r="L658" s="13" t="s">
        <v>1438</v>
      </c>
      <c r="M658" s="13"/>
    </row>
    <row r="659" customFormat="false" ht="15" hidden="false" customHeight="false" outlineLevel="0" collapsed="false">
      <c r="A659" s="13" t="s">
        <v>595</v>
      </c>
      <c r="B659" s="13" t="s">
        <v>594</v>
      </c>
      <c r="C659" s="13" t="s">
        <v>1442</v>
      </c>
      <c r="D659" s="13" t="s">
        <v>61</v>
      </c>
      <c r="E659" s="13" t="s">
        <v>942</v>
      </c>
      <c r="F659" s="13" t="s">
        <v>943</v>
      </c>
      <c r="G659" s="61" t="n">
        <v>-8759800571</v>
      </c>
      <c r="H659" s="13" t="s">
        <v>1435</v>
      </c>
      <c r="I659" s="13"/>
      <c r="J659" s="13" t="s">
        <v>1465</v>
      </c>
      <c r="K659" s="13" t="s">
        <v>606</v>
      </c>
      <c r="L659" s="13" t="s">
        <v>1443</v>
      </c>
      <c r="M659" s="13"/>
    </row>
    <row r="660" customFormat="false" ht="15" hidden="false" customHeight="false" outlineLevel="0" collapsed="false">
      <c r="A660" s="13" t="s">
        <v>595</v>
      </c>
      <c r="B660" s="13" t="s">
        <v>594</v>
      </c>
      <c r="C660" s="13" t="s">
        <v>1444</v>
      </c>
      <c r="D660" s="13" t="s">
        <v>61</v>
      </c>
      <c r="E660" s="13" t="s">
        <v>942</v>
      </c>
      <c r="F660" s="13" t="s">
        <v>943</v>
      </c>
      <c r="G660" s="61" t="n">
        <v>-7445084642</v>
      </c>
      <c r="H660" s="13" t="s">
        <v>1435</v>
      </c>
      <c r="I660" s="13"/>
      <c r="J660" s="13" t="s">
        <v>1466</v>
      </c>
      <c r="K660" s="13" t="s">
        <v>607</v>
      </c>
      <c r="L660" s="13" t="s">
        <v>1443</v>
      </c>
      <c r="M660" s="13"/>
    </row>
    <row r="661" customFormat="false" ht="15" hidden="false" customHeight="false" outlineLevel="0" collapsed="false">
      <c r="A661" s="13" t="s">
        <v>595</v>
      </c>
      <c r="B661" s="13" t="s">
        <v>594</v>
      </c>
      <c r="C661" s="13" t="s">
        <v>1446</v>
      </c>
      <c r="D661" s="13" t="s">
        <v>61</v>
      </c>
      <c r="E661" s="13" t="s">
        <v>942</v>
      </c>
      <c r="F661" s="13" t="s">
        <v>943</v>
      </c>
      <c r="G661" s="61" t="n">
        <v>-76693285106</v>
      </c>
      <c r="H661" s="13" t="s">
        <v>1435</v>
      </c>
      <c r="I661" s="13"/>
      <c r="J661" s="13" t="s">
        <v>1467</v>
      </c>
      <c r="K661" s="13" t="s">
        <v>608</v>
      </c>
      <c r="L661" s="13" t="s">
        <v>1443</v>
      </c>
      <c r="M661" s="13"/>
    </row>
    <row r="662" customFormat="false" ht="15" hidden="false" customHeight="false" outlineLevel="0" collapsed="false">
      <c r="A662" s="13" t="s">
        <v>595</v>
      </c>
      <c r="B662" s="13" t="s">
        <v>594</v>
      </c>
      <c r="C662" s="13" t="s">
        <v>1448</v>
      </c>
      <c r="D662" s="13" t="s">
        <v>61</v>
      </c>
      <c r="E662" s="13" t="s">
        <v>942</v>
      </c>
      <c r="F662" s="13" t="s">
        <v>943</v>
      </c>
      <c r="G662" s="61" t="n">
        <v>-28865568968</v>
      </c>
      <c r="H662" s="13" t="s">
        <v>1435</v>
      </c>
      <c r="I662" s="13"/>
      <c r="J662" s="13" t="s">
        <v>1468</v>
      </c>
      <c r="K662" s="13" t="s">
        <v>609</v>
      </c>
      <c r="L662" s="13" t="s">
        <v>1443</v>
      </c>
      <c r="M662" s="13"/>
    </row>
    <row r="663" customFormat="false" ht="15" hidden="false" customHeight="false" outlineLevel="0" collapsed="false">
      <c r="A663" s="13" t="s">
        <v>595</v>
      </c>
      <c r="B663" s="13" t="s">
        <v>594</v>
      </c>
      <c r="C663" s="13" t="s">
        <v>1434</v>
      </c>
      <c r="D663" s="13" t="s">
        <v>61</v>
      </c>
      <c r="E663" s="13" t="s">
        <v>945</v>
      </c>
      <c r="F663" s="13" t="s">
        <v>946</v>
      </c>
      <c r="G663" s="61" t="n">
        <v>525479693804</v>
      </c>
      <c r="H663" s="13" t="s">
        <v>1435</v>
      </c>
      <c r="I663" s="13"/>
      <c r="J663" s="13" t="s">
        <v>1464</v>
      </c>
      <c r="K663" s="13" t="s">
        <v>1437</v>
      </c>
      <c r="L663" s="13" t="s">
        <v>1438</v>
      </c>
      <c r="M663" s="13"/>
    </row>
    <row r="664" customFormat="false" ht="15" hidden="false" customHeight="false" outlineLevel="0" collapsed="false">
      <c r="A664" s="13" t="s">
        <v>595</v>
      </c>
      <c r="B664" s="13" t="s">
        <v>594</v>
      </c>
      <c r="C664" s="13" t="s">
        <v>1439</v>
      </c>
      <c r="D664" s="13" t="s">
        <v>61</v>
      </c>
      <c r="E664" s="13" t="s">
        <v>945</v>
      </c>
      <c r="F664" s="13" t="s">
        <v>946</v>
      </c>
      <c r="G664" s="61" t="n">
        <v>542400475238</v>
      </c>
      <c r="H664" s="13" t="s">
        <v>1435</v>
      </c>
      <c r="I664" s="13"/>
      <c r="J664" s="13" t="s">
        <v>1465</v>
      </c>
      <c r="K664" s="13" t="s">
        <v>1441</v>
      </c>
      <c r="L664" s="13" t="s">
        <v>1438</v>
      </c>
      <c r="M664" s="13"/>
    </row>
    <row r="665" customFormat="false" ht="15" hidden="false" customHeight="false" outlineLevel="0" collapsed="false">
      <c r="A665" s="13" t="s">
        <v>595</v>
      </c>
      <c r="B665" s="13" t="s">
        <v>594</v>
      </c>
      <c r="C665" s="13" t="s">
        <v>1442</v>
      </c>
      <c r="D665" s="13" t="s">
        <v>61</v>
      </c>
      <c r="E665" s="13" t="s">
        <v>945</v>
      </c>
      <c r="F665" s="13" t="s">
        <v>946</v>
      </c>
      <c r="G665" s="61" t="n">
        <v>533208033479</v>
      </c>
      <c r="H665" s="13" t="s">
        <v>1435</v>
      </c>
      <c r="I665" s="13"/>
      <c r="J665" s="13" t="s">
        <v>1465</v>
      </c>
      <c r="K665" s="13" t="s">
        <v>606</v>
      </c>
      <c r="L665" s="13" t="s">
        <v>1443</v>
      </c>
      <c r="M665" s="13"/>
    </row>
    <row r="666" customFormat="false" ht="15" hidden="false" customHeight="false" outlineLevel="0" collapsed="false">
      <c r="A666" s="13" t="s">
        <v>595</v>
      </c>
      <c r="B666" s="13" t="s">
        <v>594</v>
      </c>
      <c r="C666" s="13" t="s">
        <v>1444</v>
      </c>
      <c r="D666" s="13" t="s">
        <v>61</v>
      </c>
      <c r="E666" s="13" t="s">
        <v>945</v>
      </c>
      <c r="F666" s="13" t="s">
        <v>946</v>
      </c>
      <c r="G666" s="61" t="n">
        <v>525762948837</v>
      </c>
      <c r="H666" s="13" t="s">
        <v>1435</v>
      </c>
      <c r="I666" s="13"/>
      <c r="J666" s="13" t="s">
        <v>1466</v>
      </c>
      <c r="K666" s="13" t="s">
        <v>607</v>
      </c>
      <c r="L666" s="13" t="s">
        <v>1443</v>
      </c>
      <c r="M666" s="13"/>
    </row>
    <row r="667" customFormat="false" ht="15" hidden="false" customHeight="false" outlineLevel="0" collapsed="false">
      <c r="A667" s="13" t="s">
        <v>595</v>
      </c>
      <c r="B667" s="13" t="s">
        <v>594</v>
      </c>
      <c r="C667" s="13" t="s">
        <v>1446</v>
      </c>
      <c r="D667" s="13" t="s">
        <v>61</v>
      </c>
      <c r="E667" s="13" t="s">
        <v>945</v>
      </c>
      <c r="F667" s="13" t="s">
        <v>946</v>
      </c>
      <c r="G667" s="61" t="n">
        <v>449069663731</v>
      </c>
      <c r="H667" s="13" t="s">
        <v>1435</v>
      </c>
      <c r="I667" s="13"/>
      <c r="J667" s="13" t="s">
        <v>1467</v>
      </c>
      <c r="K667" s="13" t="s">
        <v>608</v>
      </c>
      <c r="L667" s="13" t="s">
        <v>1443</v>
      </c>
      <c r="M667" s="13"/>
    </row>
    <row r="668" customFormat="false" ht="15" hidden="false" customHeight="false" outlineLevel="0" collapsed="false">
      <c r="A668" s="13" t="s">
        <v>595</v>
      </c>
      <c r="B668" s="13" t="s">
        <v>594</v>
      </c>
      <c r="C668" s="13" t="s">
        <v>1448</v>
      </c>
      <c r="D668" s="13" t="s">
        <v>61</v>
      </c>
      <c r="E668" s="13" t="s">
        <v>945</v>
      </c>
      <c r="F668" s="13" t="s">
        <v>946</v>
      </c>
      <c r="G668" s="61" t="n">
        <v>420204094763</v>
      </c>
      <c r="H668" s="13" t="s">
        <v>1435</v>
      </c>
      <c r="I668" s="13"/>
      <c r="J668" s="13" t="s">
        <v>1468</v>
      </c>
      <c r="K668" s="13" t="s">
        <v>609</v>
      </c>
      <c r="L668" s="13" t="s">
        <v>1443</v>
      </c>
      <c r="M668" s="13"/>
    </row>
    <row r="669" customFormat="false" ht="15" hidden="false" customHeight="false" outlineLevel="0" collapsed="false">
      <c r="A669" s="13" t="s">
        <v>595</v>
      </c>
      <c r="B669" s="13" t="s">
        <v>594</v>
      </c>
      <c r="C669" s="13" t="s">
        <v>1439</v>
      </c>
      <c r="D669" s="13" t="s">
        <v>1469</v>
      </c>
      <c r="E669" s="13" t="s">
        <v>1470</v>
      </c>
      <c r="F669" s="13" t="s">
        <v>1471</v>
      </c>
      <c r="G669" s="61" t="n">
        <v>85561084222</v>
      </c>
      <c r="H669" s="13" t="s">
        <v>1435</v>
      </c>
      <c r="I669" s="13" t="s">
        <v>1472</v>
      </c>
      <c r="J669" s="13" t="n">
        <v>76</v>
      </c>
      <c r="K669" s="13" t="s">
        <v>1473</v>
      </c>
      <c r="L669" s="13" t="s">
        <v>1438</v>
      </c>
      <c r="M669" s="13"/>
    </row>
    <row r="670" customFormat="false" ht="15" hidden="false" customHeight="false" outlineLevel="0" collapsed="false">
      <c r="A670" s="13" t="s">
        <v>595</v>
      </c>
      <c r="B670" s="13" t="s">
        <v>594</v>
      </c>
      <c r="C670" s="13" t="s">
        <v>1442</v>
      </c>
      <c r="D670" s="13" t="s">
        <v>1469</v>
      </c>
      <c r="E670" s="13" t="s">
        <v>1470</v>
      </c>
      <c r="F670" s="13" t="s">
        <v>1471</v>
      </c>
      <c r="G670" s="61" t="n">
        <v>59522584951</v>
      </c>
      <c r="H670" s="13" t="s">
        <v>1435</v>
      </c>
      <c r="I670" s="13" t="s">
        <v>1472</v>
      </c>
      <c r="J670" s="13" t="n">
        <v>76</v>
      </c>
      <c r="K670" s="13" t="s">
        <v>1473</v>
      </c>
      <c r="L670" s="13" t="s">
        <v>1443</v>
      </c>
      <c r="M670" s="13"/>
    </row>
    <row r="671" customFormat="false" ht="15" hidden="false" customHeight="false" outlineLevel="0" collapsed="false">
      <c r="A671" s="13" t="s">
        <v>595</v>
      </c>
      <c r="B671" s="13" t="s">
        <v>594</v>
      </c>
      <c r="C671" s="13" t="s">
        <v>1444</v>
      </c>
      <c r="D671" s="13" t="s">
        <v>1469</v>
      </c>
      <c r="E671" s="13" t="s">
        <v>1470</v>
      </c>
      <c r="F671" s="13" t="s">
        <v>1471</v>
      </c>
      <c r="G671" s="61" t="n">
        <v>62769144873</v>
      </c>
      <c r="H671" s="13" t="s">
        <v>1435</v>
      </c>
      <c r="I671" s="13" t="s">
        <v>1472</v>
      </c>
      <c r="J671" s="13" t="n">
        <v>67</v>
      </c>
      <c r="K671" s="13" t="s">
        <v>1474</v>
      </c>
      <c r="L671" s="13" t="s">
        <v>1443</v>
      </c>
      <c r="M671" s="13"/>
    </row>
    <row r="672" customFormat="false" ht="15" hidden="false" customHeight="false" outlineLevel="0" collapsed="false">
      <c r="A672" s="13" t="s">
        <v>595</v>
      </c>
      <c r="B672" s="13" t="s">
        <v>594</v>
      </c>
      <c r="C672" s="13" t="s">
        <v>1446</v>
      </c>
      <c r="D672" s="13" t="s">
        <v>1469</v>
      </c>
      <c r="E672" s="13" t="s">
        <v>1470</v>
      </c>
      <c r="F672" s="13" t="s">
        <v>1471</v>
      </c>
      <c r="G672" s="61" t="n">
        <v>79971978451</v>
      </c>
      <c r="H672" s="13" t="s">
        <v>1435</v>
      </c>
      <c r="I672" s="13" t="s">
        <v>1472</v>
      </c>
      <c r="J672" s="13" t="n">
        <v>65</v>
      </c>
      <c r="K672" s="13" t="s">
        <v>1475</v>
      </c>
      <c r="L672" s="13" t="s">
        <v>1443</v>
      </c>
      <c r="M672" s="13"/>
    </row>
    <row r="673" customFormat="false" ht="15" hidden="false" customHeight="false" outlineLevel="0" collapsed="false">
      <c r="A673" s="13" t="s">
        <v>595</v>
      </c>
      <c r="B673" s="13" t="s">
        <v>594</v>
      </c>
      <c r="C673" s="13" t="s">
        <v>1448</v>
      </c>
      <c r="D673" s="13" t="s">
        <v>1469</v>
      </c>
      <c r="E673" s="13" t="s">
        <v>1470</v>
      </c>
      <c r="F673" s="13" t="s">
        <v>1471</v>
      </c>
      <c r="G673" s="61" t="n">
        <v>94961869556</v>
      </c>
      <c r="H673" s="13" t="s">
        <v>1435</v>
      </c>
      <c r="I673" s="13" t="s">
        <v>1472</v>
      </c>
      <c r="J673" s="13" t="n">
        <v>76</v>
      </c>
      <c r="K673" s="13" t="s">
        <v>1476</v>
      </c>
      <c r="L673" s="13" t="s">
        <v>1443</v>
      </c>
      <c r="M673" s="13"/>
    </row>
    <row r="674" customFormat="false" ht="15" hidden="false" customHeight="false" outlineLevel="0" collapsed="false">
      <c r="A674" s="13" t="s">
        <v>595</v>
      </c>
      <c r="B674" s="13" t="s">
        <v>594</v>
      </c>
      <c r="C674" s="13" t="s">
        <v>1439</v>
      </c>
      <c r="D674" s="13" t="s">
        <v>1469</v>
      </c>
      <c r="E674" s="13" t="s">
        <v>1470</v>
      </c>
      <c r="F674" s="13" t="s">
        <v>1477</v>
      </c>
      <c r="G674" s="61" t="n">
        <v>57817012718</v>
      </c>
      <c r="H674" s="13" t="s">
        <v>1435</v>
      </c>
      <c r="I674" s="13" t="s">
        <v>1472</v>
      </c>
      <c r="J674" s="13" t="n">
        <v>76</v>
      </c>
      <c r="K674" s="13" t="s">
        <v>1473</v>
      </c>
      <c r="L674" s="13" t="s">
        <v>1438</v>
      </c>
      <c r="M674" s="13"/>
    </row>
    <row r="675" customFormat="false" ht="15" hidden="false" customHeight="false" outlineLevel="0" collapsed="false">
      <c r="A675" s="13" t="s">
        <v>595</v>
      </c>
      <c r="B675" s="13" t="s">
        <v>594</v>
      </c>
      <c r="C675" s="13" t="s">
        <v>1442</v>
      </c>
      <c r="D675" s="13" t="s">
        <v>1469</v>
      </c>
      <c r="E675" s="13" t="s">
        <v>1470</v>
      </c>
      <c r="F675" s="13" t="s">
        <v>1477</v>
      </c>
      <c r="G675" s="61" t="n">
        <v>48425092048</v>
      </c>
      <c r="H675" s="13" t="s">
        <v>1435</v>
      </c>
      <c r="I675" s="13" t="s">
        <v>1472</v>
      </c>
      <c r="J675" s="13" t="n">
        <v>76</v>
      </c>
      <c r="K675" s="13" t="s">
        <v>1473</v>
      </c>
      <c r="L675" s="13" t="s">
        <v>1443</v>
      </c>
      <c r="M675" s="13"/>
    </row>
    <row r="676" customFormat="false" ht="15" hidden="false" customHeight="false" outlineLevel="0" collapsed="false">
      <c r="A676" s="13" t="s">
        <v>595</v>
      </c>
      <c r="B676" s="13" t="s">
        <v>594</v>
      </c>
      <c r="C676" s="13" t="s">
        <v>1444</v>
      </c>
      <c r="D676" s="13" t="s">
        <v>1469</v>
      </c>
      <c r="E676" s="13" t="s">
        <v>1470</v>
      </c>
      <c r="F676" s="13" t="s">
        <v>1477</v>
      </c>
      <c r="G676" s="61" t="n">
        <v>47312041259</v>
      </c>
      <c r="H676" s="13" t="s">
        <v>1435</v>
      </c>
      <c r="I676" s="13" t="s">
        <v>1472</v>
      </c>
      <c r="J676" s="13" t="n">
        <v>67</v>
      </c>
      <c r="K676" s="13" t="s">
        <v>1474</v>
      </c>
      <c r="L676" s="13" t="s">
        <v>1443</v>
      </c>
      <c r="M676" s="13"/>
    </row>
    <row r="677" customFormat="false" ht="15" hidden="false" customHeight="false" outlineLevel="0" collapsed="false">
      <c r="A677" s="13" t="s">
        <v>595</v>
      </c>
      <c r="B677" s="13" t="s">
        <v>594</v>
      </c>
      <c r="C677" s="13" t="s">
        <v>1446</v>
      </c>
      <c r="D677" s="13" t="s">
        <v>1469</v>
      </c>
      <c r="E677" s="13" t="s">
        <v>1470</v>
      </c>
      <c r="F677" s="13" t="s">
        <v>1477</v>
      </c>
      <c r="G677" s="61" t="n">
        <v>65218414029</v>
      </c>
      <c r="H677" s="13" t="s">
        <v>1435</v>
      </c>
      <c r="I677" s="13" t="s">
        <v>1472</v>
      </c>
      <c r="J677" s="13" t="n">
        <v>65</v>
      </c>
      <c r="K677" s="13" t="s">
        <v>1475</v>
      </c>
      <c r="L677" s="13" t="s">
        <v>1443</v>
      </c>
      <c r="M677" s="13"/>
    </row>
    <row r="678" customFormat="false" ht="15" hidden="false" customHeight="false" outlineLevel="0" collapsed="false">
      <c r="A678" s="13" t="s">
        <v>595</v>
      </c>
      <c r="B678" s="13" t="s">
        <v>594</v>
      </c>
      <c r="C678" s="13" t="s">
        <v>1448</v>
      </c>
      <c r="D678" s="13" t="s">
        <v>1469</v>
      </c>
      <c r="E678" s="13" t="s">
        <v>1470</v>
      </c>
      <c r="F678" s="13" t="s">
        <v>1477</v>
      </c>
      <c r="G678" s="61" t="n">
        <v>56392997716</v>
      </c>
      <c r="H678" s="13" t="s">
        <v>1435</v>
      </c>
      <c r="I678" s="13" t="s">
        <v>1472</v>
      </c>
      <c r="J678" s="13" t="n">
        <v>76</v>
      </c>
      <c r="K678" s="13" t="s">
        <v>1476</v>
      </c>
      <c r="L678" s="13" t="s">
        <v>1443</v>
      </c>
      <c r="M678" s="13"/>
    </row>
    <row r="679" customFormat="false" ht="15" hidden="false" customHeight="false" outlineLevel="0" collapsed="false">
      <c r="A679" s="13" t="s">
        <v>595</v>
      </c>
      <c r="B679" s="13" t="s">
        <v>594</v>
      </c>
      <c r="C679" s="13" t="s">
        <v>1439</v>
      </c>
      <c r="D679" s="13" t="s">
        <v>1469</v>
      </c>
      <c r="E679" s="13" t="s">
        <v>1470</v>
      </c>
      <c r="F679" s="13" t="s">
        <v>1478</v>
      </c>
      <c r="G679" s="61" t="n">
        <v>30071123526</v>
      </c>
      <c r="H679" s="13" t="s">
        <v>1435</v>
      </c>
      <c r="I679" s="13" t="s">
        <v>1472</v>
      </c>
      <c r="J679" s="13" t="n">
        <v>76</v>
      </c>
      <c r="K679" s="13" t="s">
        <v>1473</v>
      </c>
      <c r="L679" s="13" t="s">
        <v>1438</v>
      </c>
      <c r="M679" s="13"/>
    </row>
    <row r="680" customFormat="false" ht="15" hidden="false" customHeight="false" outlineLevel="0" collapsed="false">
      <c r="A680" s="13" t="s">
        <v>595</v>
      </c>
      <c r="B680" s="13" t="s">
        <v>594</v>
      </c>
      <c r="C680" s="13" t="s">
        <v>1442</v>
      </c>
      <c r="D680" s="13" t="s">
        <v>1469</v>
      </c>
      <c r="E680" s="13" t="s">
        <v>1470</v>
      </c>
      <c r="F680" s="13" t="s">
        <v>1478</v>
      </c>
      <c r="G680" s="61" t="n">
        <v>31296284192</v>
      </c>
      <c r="H680" s="13" t="s">
        <v>1435</v>
      </c>
      <c r="I680" s="13" t="s">
        <v>1472</v>
      </c>
      <c r="J680" s="13" t="n">
        <v>76</v>
      </c>
      <c r="K680" s="13" t="s">
        <v>1473</v>
      </c>
      <c r="L680" s="13" t="s">
        <v>1443</v>
      </c>
      <c r="M680" s="13"/>
    </row>
    <row r="681" customFormat="false" ht="15" hidden="false" customHeight="false" outlineLevel="0" collapsed="false">
      <c r="A681" s="13" t="s">
        <v>595</v>
      </c>
      <c r="B681" s="13" t="s">
        <v>594</v>
      </c>
      <c r="C681" s="13" t="s">
        <v>1444</v>
      </c>
      <c r="D681" s="13" t="s">
        <v>1469</v>
      </c>
      <c r="E681" s="13" t="s">
        <v>1470</v>
      </c>
      <c r="F681" s="13" t="s">
        <v>1478</v>
      </c>
      <c r="G681" s="61" t="n">
        <v>33594554794</v>
      </c>
      <c r="H681" s="13" t="s">
        <v>1435</v>
      </c>
      <c r="I681" s="13" t="s">
        <v>1472</v>
      </c>
      <c r="J681" s="13" t="n">
        <v>67</v>
      </c>
      <c r="K681" s="13" t="s">
        <v>1474</v>
      </c>
      <c r="L681" s="13" t="s">
        <v>1443</v>
      </c>
      <c r="M681" s="13"/>
    </row>
    <row r="682" customFormat="false" ht="15" hidden="false" customHeight="false" outlineLevel="0" collapsed="false">
      <c r="A682" s="13" t="s">
        <v>595</v>
      </c>
      <c r="B682" s="13" t="s">
        <v>594</v>
      </c>
      <c r="C682" s="13" t="s">
        <v>1446</v>
      </c>
      <c r="D682" s="13" t="s">
        <v>1469</v>
      </c>
      <c r="E682" s="13" t="s">
        <v>1470</v>
      </c>
      <c r="F682" s="13" t="s">
        <v>1478</v>
      </c>
      <c r="G682" s="61" t="n">
        <v>42736234133</v>
      </c>
      <c r="H682" s="13" t="s">
        <v>1435</v>
      </c>
      <c r="I682" s="13" t="s">
        <v>1472</v>
      </c>
      <c r="J682" s="13" t="n">
        <v>65</v>
      </c>
      <c r="K682" s="13" t="s">
        <v>1475</v>
      </c>
      <c r="L682" s="13" t="s">
        <v>1443</v>
      </c>
      <c r="M682" s="13"/>
    </row>
    <row r="683" customFormat="false" ht="15" hidden="false" customHeight="false" outlineLevel="0" collapsed="false">
      <c r="A683" s="13" t="s">
        <v>595</v>
      </c>
      <c r="B683" s="13" t="s">
        <v>594</v>
      </c>
      <c r="C683" s="13" t="s">
        <v>1448</v>
      </c>
      <c r="D683" s="13" t="s">
        <v>1469</v>
      </c>
      <c r="E683" s="13" t="s">
        <v>1470</v>
      </c>
      <c r="F683" s="13" t="s">
        <v>1478</v>
      </c>
      <c r="G683" s="61" t="n">
        <v>46510425397</v>
      </c>
      <c r="H683" s="13" t="s">
        <v>1435</v>
      </c>
      <c r="I683" s="13" t="s">
        <v>1472</v>
      </c>
      <c r="J683" s="13" t="n">
        <v>76</v>
      </c>
      <c r="K683" s="13" t="s">
        <v>1476</v>
      </c>
      <c r="L683" s="13" t="s">
        <v>1443</v>
      </c>
      <c r="M683" s="13"/>
    </row>
    <row r="684" customFormat="false" ht="15" hidden="false" customHeight="false" outlineLevel="0" collapsed="false">
      <c r="A684" s="13" t="s">
        <v>595</v>
      </c>
      <c r="B684" s="13" t="s">
        <v>594</v>
      </c>
      <c r="C684" s="13" t="s">
        <v>1439</v>
      </c>
      <c r="D684" s="13" t="s">
        <v>1469</v>
      </c>
      <c r="E684" s="13" t="s">
        <v>1470</v>
      </c>
      <c r="F684" s="13" t="s">
        <v>1479</v>
      </c>
      <c r="G684" s="61" t="n">
        <v>44975023114</v>
      </c>
      <c r="H684" s="13" t="s">
        <v>1435</v>
      </c>
      <c r="I684" s="13" t="s">
        <v>1472</v>
      </c>
      <c r="J684" s="13" t="n">
        <v>76</v>
      </c>
      <c r="K684" s="13" t="s">
        <v>1473</v>
      </c>
      <c r="L684" s="13" t="s">
        <v>1438</v>
      </c>
      <c r="M684" s="13"/>
    </row>
    <row r="685" customFormat="false" ht="15" hidden="false" customHeight="false" outlineLevel="0" collapsed="false">
      <c r="A685" s="13" t="s">
        <v>595</v>
      </c>
      <c r="B685" s="13" t="s">
        <v>594</v>
      </c>
      <c r="C685" s="13" t="s">
        <v>1442</v>
      </c>
      <c r="D685" s="13" t="s">
        <v>1469</v>
      </c>
      <c r="E685" s="13" t="s">
        <v>1470</v>
      </c>
      <c r="F685" s="13" t="s">
        <v>1479</v>
      </c>
      <c r="G685" s="61" t="n">
        <v>26325975238</v>
      </c>
      <c r="H685" s="13" t="s">
        <v>1435</v>
      </c>
      <c r="I685" s="13" t="s">
        <v>1472</v>
      </c>
      <c r="J685" s="13" t="n">
        <v>76</v>
      </c>
      <c r="K685" s="13" t="s">
        <v>1473</v>
      </c>
      <c r="L685" s="13" t="s">
        <v>1443</v>
      </c>
      <c r="M685" s="13"/>
    </row>
    <row r="686" customFormat="false" ht="15" hidden="false" customHeight="false" outlineLevel="0" collapsed="false">
      <c r="A686" s="13" t="s">
        <v>595</v>
      </c>
      <c r="B686" s="13" t="s">
        <v>594</v>
      </c>
      <c r="C686" s="13" t="s">
        <v>1444</v>
      </c>
      <c r="D686" s="13" t="s">
        <v>1469</v>
      </c>
      <c r="E686" s="13" t="s">
        <v>1470</v>
      </c>
      <c r="F686" s="13" t="s">
        <v>1479</v>
      </c>
      <c r="G686" s="61" t="n">
        <v>25620273578</v>
      </c>
      <c r="H686" s="13" t="s">
        <v>1435</v>
      </c>
      <c r="I686" s="13" t="s">
        <v>1472</v>
      </c>
      <c r="J686" s="13" t="n">
        <v>67</v>
      </c>
      <c r="K686" s="13" t="s">
        <v>1474</v>
      </c>
      <c r="L686" s="13" t="s">
        <v>1443</v>
      </c>
      <c r="M686" s="13"/>
    </row>
    <row r="687" customFormat="false" ht="15" hidden="false" customHeight="false" outlineLevel="0" collapsed="false">
      <c r="A687" s="13" t="s">
        <v>595</v>
      </c>
      <c r="B687" s="13" t="s">
        <v>594</v>
      </c>
      <c r="C687" s="13" t="s">
        <v>1446</v>
      </c>
      <c r="D687" s="13" t="s">
        <v>1469</v>
      </c>
      <c r="E687" s="13" t="s">
        <v>1470</v>
      </c>
      <c r="F687" s="13" t="s">
        <v>1479</v>
      </c>
      <c r="G687" s="61" t="n">
        <v>31989346647</v>
      </c>
      <c r="H687" s="13" t="s">
        <v>1435</v>
      </c>
      <c r="I687" s="13" t="s">
        <v>1472</v>
      </c>
      <c r="J687" s="13" t="n">
        <v>65</v>
      </c>
      <c r="K687" s="13" t="s">
        <v>1475</v>
      </c>
      <c r="L687" s="13" t="s">
        <v>1443</v>
      </c>
      <c r="M687" s="13"/>
    </row>
    <row r="688" customFormat="false" ht="15" hidden="false" customHeight="false" outlineLevel="0" collapsed="false">
      <c r="A688" s="13" t="s">
        <v>595</v>
      </c>
      <c r="B688" s="13" t="s">
        <v>594</v>
      </c>
      <c r="C688" s="13" t="s">
        <v>1448</v>
      </c>
      <c r="D688" s="13" t="s">
        <v>1469</v>
      </c>
      <c r="E688" s="13" t="s">
        <v>1470</v>
      </c>
      <c r="F688" s="13" t="s">
        <v>1479</v>
      </c>
      <c r="G688" s="61" t="n">
        <v>28716987760</v>
      </c>
      <c r="H688" s="13" t="s">
        <v>1435</v>
      </c>
      <c r="I688" s="13" t="s">
        <v>1472</v>
      </c>
      <c r="J688" s="13" t="n">
        <v>76</v>
      </c>
      <c r="K688" s="13" t="s">
        <v>1476</v>
      </c>
      <c r="L688" s="13" t="s">
        <v>1443</v>
      </c>
      <c r="M688" s="13"/>
    </row>
    <row r="689" customFormat="false" ht="15" hidden="false" customHeight="false" outlineLevel="0" collapsed="false">
      <c r="A689" s="13" t="s">
        <v>595</v>
      </c>
      <c r="B689" s="13" t="s">
        <v>594</v>
      </c>
      <c r="C689" s="13" t="s">
        <v>1439</v>
      </c>
      <c r="D689" s="13" t="s">
        <v>1469</v>
      </c>
      <c r="E689" s="13" t="s">
        <v>1470</v>
      </c>
      <c r="F689" s="13" t="s">
        <v>1480</v>
      </c>
      <c r="G689" s="61" t="n">
        <v>9316823871</v>
      </c>
      <c r="H689" s="13" t="s">
        <v>1435</v>
      </c>
      <c r="I689" s="13" t="s">
        <v>1472</v>
      </c>
      <c r="J689" s="13" t="n">
        <v>76</v>
      </c>
      <c r="K689" s="13" t="s">
        <v>1473</v>
      </c>
      <c r="L689" s="13" t="s">
        <v>1438</v>
      </c>
      <c r="M689" s="13"/>
    </row>
    <row r="690" customFormat="false" ht="15" hidden="false" customHeight="false" outlineLevel="0" collapsed="false">
      <c r="A690" s="13" t="s">
        <v>595</v>
      </c>
      <c r="B690" s="13" t="s">
        <v>594</v>
      </c>
      <c r="C690" s="13" t="s">
        <v>1442</v>
      </c>
      <c r="D690" s="13" t="s">
        <v>1469</v>
      </c>
      <c r="E690" s="13" t="s">
        <v>1470</v>
      </c>
      <c r="F690" s="13" t="s">
        <v>1480</v>
      </c>
      <c r="G690" s="61" t="n">
        <v>8013706497</v>
      </c>
      <c r="H690" s="13" t="s">
        <v>1435</v>
      </c>
      <c r="I690" s="13" t="s">
        <v>1472</v>
      </c>
      <c r="J690" s="13" t="n">
        <v>76</v>
      </c>
      <c r="K690" s="13" t="s">
        <v>1473</v>
      </c>
      <c r="L690" s="13" t="s">
        <v>1443</v>
      </c>
      <c r="M690" s="13"/>
    </row>
    <row r="691" customFormat="false" ht="15" hidden="false" customHeight="false" outlineLevel="0" collapsed="false">
      <c r="A691" s="13" t="s">
        <v>595</v>
      </c>
      <c r="B691" s="13" t="s">
        <v>594</v>
      </c>
      <c r="C691" s="13" t="s">
        <v>1444</v>
      </c>
      <c r="D691" s="13" t="s">
        <v>1469</v>
      </c>
      <c r="E691" s="13" t="s">
        <v>1470</v>
      </c>
      <c r="F691" s="13" t="s">
        <v>1480</v>
      </c>
      <c r="G691" s="61" t="n">
        <v>7299353437</v>
      </c>
      <c r="H691" s="13" t="s">
        <v>1435</v>
      </c>
      <c r="I691" s="13" t="s">
        <v>1472</v>
      </c>
      <c r="J691" s="13" t="n">
        <v>67</v>
      </c>
      <c r="K691" s="13" t="s">
        <v>1474</v>
      </c>
      <c r="L691" s="13" t="s">
        <v>1443</v>
      </c>
      <c r="M691" s="13"/>
    </row>
    <row r="692" customFormat="false" ht="15" hidden="false" customHeight="false" outlineLevel="0" collapsed="false">
      <c r="A692" s="13" t="s">
        <v>595</v>
      </c>
      <c r="B692" s="13" t="s">
        <v>594</v>
      </c>
      <c r="C692" s="13" t="s">
        <v>1446</v>
      </c>
      <c r="D692" s="13" t="s">
        <v>1469</v>
      </c>
      <c r="E692" s="13" t="s">
        <v>1470</v>
      </c>
      <c r="F692" s="13" t="s">
        <v>1480</v>
      </c>
      <c r="G692" s="61" t="n">
        <v>10733754184</v>
      </c>
      <c r="H692" s="13" t="s">
        <v>1435</v>
      </c>
      <c r="I692" s="13" t="s">
        <v>1472</v>
      </c>
      <c r="J692" s="13" t="n">
        <v>65</v>
      </c>
      <c r="K692" s="13" t="s">
        <v>1475</v>
      </c>
      <c r="L692" s="13" t="s">
        <v>1443</v>
      </c>
      <c r="M692" s="13"/>
    </row>
    <row r="693" customFormat="false" ht="15" hidden="false" customHeight="false" outlineLevel="0" collapsed="false">
      <c r="A693" s="13" t="s">
        <v>595</v>
      </c>
      <c r="B693" s="13" t="s">
        <v>594</v>
      </c>
      <c r="C693" s="13" t="s">
        <v>1448</v>
      </c>
      <c r="D693" s="13" t="s">
        <v>1469</v>
      </c>
      <c r="E693" s="13" t="s">
        <v>1470</v>
      </c>
      <c r="F693" s="13" t="s">
        <v>1480</v>
      </c>
      <c r="G693" s="61" t="n">
        <v>12020551644</v>
      </c>
      <c r="H693" s="13" t="s">
        <v>1435</v>
      </c>
      <c r="I693" s="13" t="s">
        <v>1472</v>
      </c>
      <c r="J693" s="13" t="n">
        <v>76</v>
      </c>
      <c r="K693" s="13" t="s">
        <v>1476</v>
      </c>
      <c r="L693" s="13" t="s">
        <v>1443</v>
      </c>
      <c r="M693" s="13"/>
    </row>
    <row r="694" customFormat="false" ht="15" hidden="false" customHeight="false" outlineLevel="0" collapsed="false">
      <c r="A694" s="13" t="s">
        <v>595</v>
      </c>
      <c r="B694" s="13" t="s">
        <v>594</v>
      </c>
      <c r="C694" s="13" t="s">
        <v>1439</v>
      </c>
      <c r="D694" s="13" t="s">
        <v>1469</v>
      </c>
      <c r="E694" s="13" t="s">
        <v>1481</v>
      </c>
      <c r="F694" s="13" t="s">
        <v>1478</v>
      </c>
      <c r="G694" s="61" t="n">
        <v>21371214441</v>
      </c>
      <c r="H694" s="13" t="s">
        <v>1435</v>
      </c>
      <c r="I694" s="13" t="s">
        <v>1472</v>
      </c>
      <c r="J694" s="13" t="n">
        <v>76</v>
      </c>
      <c r="K694" s="13" t="s">
        <v>1473</v>
      </c>
      <c r="L694" s="13" t="s">
        <v>1438</v>
      </c>
      <c r="M694" s="13"/>
    </row>
    <row r="695" customFormat="false" ht="15" hidden="false" customHeight="false" outlineLevel="0" collapsed="false">
      <c r="A695" s="13" t="s">
        <v>595</v>
      </c>
      <c r="B695" s="13" t="s">
        <v>594</v>
      </c>
      <c r="C695" s="13" t="s">
        <v>1442</v>
      </c>
      <c r="D695" s="13" t="s">
        <v>1469</v>
      </c>
      <c r="E695" s="13" t="s">
        <v>1481</v>
      </c>
      <c r="F695" s="13" t="s">
        <v>1478</v>
      </c>
      <c r="G695" s="61" t="n">
        <v>28948975992</v>
      </c>
      <c r="H695" s="13" t="s">
        <v>1435</v>
      </c>
      <c r="I695" s="13" t="s">
        <v>1472</v>
      </c>
      <c r="J695" s="13" t="n">
        <v>76</v>
      </c>
      <c r="K695" s="13" t="s">
        <v>1473</v>
      </c>
      <c r="L695" s="13" t="s">
        <v>1443</v>
      </c>
      <c r="M695" s="13"/>
    </row>
    <row r="696" customFormat="false" ht="15" hidden="false" customHeight="false" outlineLevel="0" collapsed="false">
      <c r="A696" s="13" t="s">
        <v>595</v>
      </c>
      <c r="B696" s="13" t="s">
        <v>594</v>
      </c>
      <c r="C696" s="13" t="s">
        <v>1444</v>
      </c>
      <c r="D696" s="13" t="s">
        <v>1469</v>
      </c>
      <c r="E696" s="13" t="s">
        <v>1481</v>
      </c>
      <c r="F696" s="13" t="s">
        <v>1478</v>
      </c>
      <c r="G696" s="61" t="n">
        <v>22454208393</v>
      </c>
      <c r="H696" s="13" t="s">
        <v>1435</v>
      </c>
      <c r="I696" s="13" t="s">
        <v>1472</v>
      </c>
      <c r="J696" s="13" t="n">
        <v>67</v>
      </c>
      <c r="K696" s="13" t="s">
        <v>1474</v>
      </c>
      <c r="L696" s="13" t="s">
        <v>1443</v>
      </c>
      <c r="M696" s="13"/>
    </row>
    <row r="697" customFormat="false" ht="15" hidden="false" customHeight="false" outlineLevel="0" collapsed="false">
      <c r="A697" s="13" t="s">
        <v>595</v>
      </c>
      <c r="B697" s="13" t="s">
        <v>594</v>
      </c>
      <c r="C697" s="13" t="s">
        <v>1446</v>
      </c>
      <c r="D697" s="13" t="s">
        <v>1469</v>
      </c>
      <c r="E697" s="13" t="s">
        <v>1481</v>
      </c>
      <c r="F697" s="13" t="s">
        <v>1478</v>
      </c>
      <c r="G697" s="61" t="n">
        <v>29796942473</v>
      </c>
      <c r="H697" s="13" t="s">
        <v>1435</v>
      </c>
      <c r="I697" s="13" t="s">
        <v>1472</v>
      </c>
      <c r="J697" s="13" t="n">
        <v>65</v>
      </c>
      <c r="K697" s="13" t="s">
        <v>1475</v>
      </c>
      <c r="L697" s="13" t="s">
        <v>1443</v>
      </c>
      <c r="M697" s="13"/>
    </row>
    <row r="698" customFormat="false" ht="15" hidden="false" customHeight="false" outlineLevel="0" collapsed="false">
      <c r="A698" s="13" t="s">
        <v>595</v>
      </c>
      <c r="B698" s="13" t="s">
        <v>594</v>
      </c>
      <c r="C698" s="13" t="s">
        <v>1448</v>
      </c>
      <c r="D698" s="13" t="s">
        <v>1469</v>
      </c>
      <c r="E698" s="13" t="s">
        <v>1481</v>
      </c>
      <c r="F698" s="13" t="s">
        <v>1478</v>
      </c>
      <c r="G698" s="61" t="n">
        <v>39818018139</v>
      </c>
      <c r="H698" s="13" t="s">
        <v>1435</v>
      </c>
      <c r="I698" s="13" t="s">
        <v>1472</v>
      </c>
      <c r="J698" s="13" t="n">
        <v>76</v>
      </c>
      <c r="K698" s="13" t="s">
        <v>1476</v>
      </c>
      <c r="L698" s="13" t="s">
        <v>1443</v>
      </c>
      <c r="M698" s="13"/>
    </row>
    <row r="699" customFormat="false" ht="15" hidden="false" customHeight="false" outlineLevel="0" collapsed="false">
      <c r="A699" s="13" t="s">
        <v>595</v>
      </c>
      <c r="B699" s="13" t="s">
        <v>594</v>
      </c>
      <c r="C699" s="13" t="s">
        <v>1439</v>
      </c>
      <c r="D699" s="13" t="s">
        <v>1469</v>
      </c>
      <c r="E699" s="13" t="s">
        <v>1481</v>
      </c>
      <c r="F699" s="13" t="s">
        <v>1477</v>
      </c>
      <c r="G699" s="61" t="n">
        <v>23746436531</v>
      </c>
      <c r="H699" s="13" t="s">
        <v>1435</v>
      </c>
      <c r="I699" s="13" t="s">
        <v>1472</v>
      </c>
      <c r="J699" s="13" t="n">
        <v>76</v>
      </c>
      <c r="K699" s="13" t="s">
        <v>1473</v>
      </c>
      <c r="L699" s="13" t="s">
        <v>1438</v>
      </c>
      <c r="M699" s="13"/>
    </row>
    <row r="700" customFormat="false" ht="15" hidden="false" customHeight="false" outlineLevel="0" collapsed="false">
      <c r="A700" s="13" t="s">
        <v>595</v>
      </c>
      <c r="B700" s="13" t="s">
        <v>594</v>
      </c>
      <c r="C700" s="13" t="s">
        <v>1442</v>
      </c>
      <c r="D700" s="13" t="s">
        <v>1469</v>
      </c>
      <c r="E700" s="13" t="s">
        <v>1481</v>
      </c>
      <c r="F700" s="13" t="s">
        <v>1477</v>
      </c>
      <c r="G700" s="61" t="n">
        <v>25714454586</v>
      </c>
      <c r="H700" s="13" t="s">
        <v>1435</v>
      </c>
      <c r="I700" s="13" t="s">
        <v>1472</v>
      </c>
      <c r="J700" s="13" t="n">
        <v>76</v>
      </c>
      <c r="K700" s="13" t="s">
        <v>1473</v>
      </c>
      <c r="L700" s="13" t="s">
        <v>1443</v>
      </c>
      <c r="M700" s="13"/>
    </row>
    <row r="701" customFormat="false" ht="15" hidden="false" customHeight="false" outlineLevel="0" collapsed="false">
      <c r="A701" s="13" t="s">
        <v>595</v>
      </c>
      <c r="B701" s="13" t="s">
        <v>594</v>
      </c>
      <c r="C701" s="13" t="s">
        <v>1444</v>
      </c>
      <c r="D701" s="13" t="s">
        <v>1469</v>
      </c>
      <c r="E701" s="13" t="s">
        <v>1481</v>
      </c>
      <c r="F701" s="13" t="s">
        <v>1477</v>
      </c>
      <c r="G701" s="61" t="n">
        <v>23340671793</v>
      </c>
      <c r="H701" s="13" t="s">
        <v>1435</v>
      </c>
      <c r="I701" s="13" t="s">
        <v>1472</v>
      </c>
      <c r="J701" s="13" t="n">
        <v>67</v>
      </c>
      <c r="K701" s="13" t="s">
        <v>1474</v>
      </c>
      <c r="L701" s="13" t="s">
        <v>1443</v>
      </c>
      <c r="M701" s="13"/>
    </row>
    <row r="702" customFormat="false" ht="15" hidden="false" customHeight="false" outlineLevel="0" collapsed="false">
      <c r="A702" s="13" t="s">
        <v>595</v>
      </c>
      <c r="B702" s="13" t="s">
        <v>594</v>
      </c>
      <c r="C702" s="13" t="s">
        <v>1446</v>
      </c>
      <c r="D702" s="13" t="s">
        <v>1469</v>
      </c>
      <c r="E702" s="13" t="s">
        <v>1481</v>
      </c>
      <c r="F702" s="13" t="s">
        <v>1477</v>
      </c>
      <c r="G702" s="61" t="n">
        <v>28927667098</v>
      </c>
      <c r="H702" s="13" t="s">
        <v>1435</v>
      </c>
      <c r="I702" s="13" t="s">
        <v>1472</v>
      </c>
      <c r="J702" s="13" t="n">
        <v>65</v>
      </c>
      <c r="K702" s="13" t="s">
        <v>1475</v>
      </c>
      <c r="L702" s="13" t="s">
        <v>1443</v>
      </c>
      <c r="M702" s="13"/>
    </row>
    <row r="703" customFormat="false" ht="15" hidden="false" customHeight="false" outlineLevel="0" collapsed="false">
      <c r="A703" s="13" t="s">
        <v>595</v>
      </c>
      <c r="B703" s="13" t="s">
        <v>594</v>
      </c>
      <c r="C703" s="13" t="s">
        <v>1448</v>
      </c>
      <c r="D703" s="13" t="s">
        <v>1469</v>
      </c>
      <c r="E703" s="13" t="s">
        <v>1481</v>
      </c>
      <c r="F703" s="13" t="s">
        <v>1477</v>
      </c>
      <c r="G703" s="61" t="n">
        <v>32511984256</v>
      </c>
      <c r="H703" s="13" t="s">
        <v>1435</v>
      </c>
      <c r="I703" s="13" t="s">
        <v>1472</v>
      </c>
      <c r="J703" s="13" t="n">
        <v>76</v>
      </c>
      <c r="K703" s="13" t="s">
        <v>1476</v>
      </c>
      <c r="L703" s="13" t="s">
        <v>1443</v>
      </c>
      <c r="M703" s="13"/>
    </row>
    <row r="704" customFormat="false" ht="15" hidden="false" customHeight="false" outlineLevel="0" collapsed="false">
      <c r="A704" s="13" t="s">
        <v>595</v>
      </c>
      <c r="B704" s="13" t="s">
        <v>594</v>
      </c>
      <c r="C704" s="13" t="s">
        <v>1439</v>
      </c>
      <c r="D704" s="13" t="s">
        <v>1469</v>
      </c>
      <c r="E704" s="13" t="s">
        <v>1481</v>
      </c>
      <c r="F704" s="13" t="s">
        <v>1479</v>
      </c>
      <c r="G704" s="61" t="n">
        <v>43452183356</v>
      </c>
      <c r="H704" s="13" t="s">
        <v>1435</v>
      </c>
      <c r="I704" s="13" t="s">
        <v>1472</v>
      </c>
      <c r="J704" s="13" t="n">
        <v>76</v>
      </c>
      <c r="K704" s="13" t="s">
        <v>1473</v>
      </c>
      <c r="L704" s="13" t="s">
        <v>1438</v>
      </c>
      <c r="M704" s="13"/>
    </row>
    <row r="705" customFormat="false" ht="15" hidden="false" customHeight="false" outlineLevel="0" collapsed="false">
      <c r="A705" s="13" t="s">
        <v>595</v>
      </c>
      <c r="B705" s="13" t="s">
        <v>594</v>
      </c>
      <c r="C705" s="13" t="s">
        <v>1442</v>
      </c>
      <c r="D705" s="13" t="s">
        <v>1469</v>
      </c>
      <c r="E705" s="13" t="s">
        <v>1481</v>
      </c>
      <c r="F705" s="13" t="s">
        <v>1479</v>
      </c>
      <c r="G705" s="61" t="n">
        <v>21708000186</v>
      </c>
      <c r="H705" s="13" t="s">
        <v>1435</v>
      </c>
      <c r="I705" s="13" t="s">
        <v>1472</v>
      </c>
      <c r="J705" s="13" t="n">
        <v>76</v>
      </c>
      <c r="K705" s="13" t="s">
        <v>1473</v>
      </c>
      <c r="L705" s="13" t="s">
        <v>1443</v>
      </c>
      <c r="M705" s="13"/>
    </row>
    <row r="706" customFormat="false" ht="15" hidden="false" customHeight="false" outlineLevel="0" collapsed="false">
      <c r="A706" s="13" t="s">
        <v>595</v>
      </c>
      <c r="B706" s="13" t="s">
        <v>594</v>
      </c>
      <c r="C706" s="13" t="s">
        <v>1444</v>
      </c>
      <c r="D706" s="13" t="s">
        <v>1469</v>
      </c>
      <c r="E706" s="13" t="s">
        <v>1481</v>
      </c>
      <c r="F706" s="13" t="s">
        <v>1479</v>
      </c>
      <c r="G706" s="61" t="n">
        <v>11830465265</v>
      </c>
      <c r="H706" s="13" t="s">
        <v>1435</v>
      </c>
      <c r="I706" s="13" t="s">
        <v>1472</v>
      </c>
      <c r="J706" s="13" t="n">
        <v>67</v>
      </c>
      <c r="K706" s="13" t="s">
        <v>1474</v>
      </c>
      <c r="L706" s="13" t="s">
        <v>1443</v>
      </c>
      <c r="M706" s="13"/>
    </row>
    <row r="707" customFormat="false" ht="15" hidden="false" customHeight="false" outlineLevel="0" collapsed="false">
      <c r="A707" s="13" t="s">
        <v>595</v>
      </c>
      <c r="B707" s="13" t="s">
        <v>594</v>
      </c>
      <c r="C707" s="13" t="s">
        <v>1446</v>
      </c>
      <c r="D707" s="13" t="s">
        <v>1469</v>
      </c>
      <c r="E707" s="13" t="s">
        <v>1481</v>
      </c>
      <c r="F707" s="13" t="s">
        <v>1479</v>
      </c>
      <c r="G707" s="61" t="n">
        <v>16622572369</v>
      </c>
      <c r="H707" s="13" t="s">
        <v>1435</v>
      </c>
      <c r="I707" s="13" t="s">
        <v>1472</v>
      </c>
      <c r="J707" s="13" t="n">
        <v>65</v>
      </c>
      <c r="K707" s="13" t="s">
        <v>1475</v>
      </c>
      <c r="L707" s="13" t="s">
        <v>1443</v>
      </c>
      <c r="M707" s="13"/>
    </row>
    <row r="708" customFormat="false" ht="15" hidden="false" customHeight="false" outlineLevel="0" collapsed="false">
      <c r="A708" s="13" t="s">
        <v>595</v>
      </c>
      <c r="B708" s="13" t="s">
        <v>594</v>
      </c>
      <c r="C708" s="13" t="s">
        <v>1448</v>
      </c>
      <c r="D708" s="13" t="s">
        <v>1469</v>
      </c>
      <c r="E708" s="13" t="s">
        <v>1481</v>
      </c>
      <c r="F708" s="13" t="s">
        <v>1479</v>
      </c>
      <c r="G708" s="61" t="n">
        <v>15273486238</v>
      </c>
      <c r="H708" s="13" t="s">
        <v>1435</v>
      </c>
      <c r="I708" s="13" t="s">
        <v>1472</v>
      </c>
      <c r="J708" s="13" t="n">
        <v>76</v>
      </c>
      <c r="K708" s="13" t="s">
        <v>1476</v>
      </c>
      <c r="L708" s="13" t="s">
        <v>1443</v>
      </c>
      <c r="M708" s="13"/>
    </row>
    <row r="709" customFormat="false" ht="15" hidden="false" customHeight="false" outlineLevel="0" collapsed="false">
      <c r="A709" s="13" t="s">
        <v>595</v>
      </c>
      <c r="B709" s="13" t="s">
        <v>594</v>
      </c>
      <c r="C709" s="13" t="s">
        <v>1439</v>
      </c>
      <c r="D709" s="13" t="s">
        <v>1469</v>
      </c>
      <c r="E709" s="13" t="s">
        <v>1481</v>
      </c>
      <c r="F709" s="13" t="s">
        <v>1482</v>
      </c>
      <c r="G709" s="61" t="n">
        <v>5714685941</v>
      </c>
      <c r="H709" s="13" t="s">
        <v>1435</v>
      </c>
      <c r="I709" s="13" t="s">
        <v>1472</v>
      </c>
      <c r="J709" s="13" t="n">
        <v>76</v>
      </c>
      <c r="K709" s="13" t="s">
        <v>1473</v>
      </c>
      <c r="L709" s="13" t="s">
        <v>1438</v>
      </c>
      <c r="M709" s="13"/>
    </row>
    <row r="710" customFormat="false" ht="15" hidden="false" customHeight="false" outlineLevel="0" collapsed="false">
      <c r="A710" s="13" t="s">
        <v>595</v>
      </c>
      <c r="B710" s="13" t="s">
        <v>594</v>
      </c>
      <c r="C710" s="13" t="s">
        <v>1442</v>
      </c>
      <c r="D710" s="13" t="s">
        <v>1469</v>
      </c>
      <c r="E710" s="13" t="s">
        <v>1481</v>
      </c>
      <c r="F710" s="13" t="s">
        <v>1482</v>
      </c>
      <c r="G710" s="61" t="n">
        <v>5640831403</v>
      </c>
      <c r="H710" s="13" t="s">
        <v>1435</v>
      </c>
      <c r="I710" s="13" t="s">
        <v>1472</v>
      </c>
      <c r="J710" s="13" t="n">
        <v>76</v>
      </c>
      <c r="K710" s="13" t="s">
        <v>1473</v>
      </c>
      <c r="L710" s="13" t="s">
        <v>1443</v>
      </c>
      <c r="M710" s="13"/>
    </row>
    <row r="711" customFormat="false" ht="15" hidden="false" customHeight="false" outlineLevel="0" collapsed="false">
      <c r="A711" s="13" t="s">
        <v>595</v>
      </c>
      <c r="B711" s="13" t="s">
        <v>594</v>
      </c>
      <c r="C711" s="13" t="s">
        <v>1444</v>
      </c>
      <c r="D711" s="13" t="s">
        <v>1469</v>
      </c>
      <c r="E711" s="13" t="s">
        <v>1481</v>
      </c>
      <c r="F711" s="13" t="s">
        <v>1482</v>
      </c>
      <c r="G711" s="61" t="n">
        <v>4835372702</v>
      </c>
      <c r="H711" s="13" t="s">
        <v>1435</v>
      </c>
      <c r="I711" s="13" t="s">
        <v>1472</v>
      </c>
      <c r="J711" s="13" t="n">
        <v>67</v>
      </c>
      <c r="K711" s="13" t="s">
        <v>1474</v>
      </c>
      <c r="L711" s="13" t="s">
        <v>1443</v>
      </c>
      <c r="M711" s="13"/>
    </row>
    <row r="712" customFormat="false" ht="15" hidden="false" customHeight="false" outlineLevel="0" collapsed="false">
      <c r="A712" s="13" t="s">
        <v>595</v>
      </c>
      <c r="B712" s="13" t="s">
        <v>594</v>
      </c>
      <c r="C712" s="13" t="s">
        <v>1446</v>
      </c>
      <c r="D712" s="13" t="s">
        <v>1469</v>
      </c>
      <c r="E712" s="13" t="s">
        <v>1481</v>
      </c>
      <c r="F712" s="13" t="s">
        <v>1482</v>
      </c>
      <c r="G712" s="61" t="n">
        <v>7017350222</v>
      </c>
      <c r="H712" s="13" t="s">
        <v>1435</v>
      </c>
      <c r="I712" s="13" t="s">
        <v>1472</v>
      </c>
      <c r="J712" s="13" t="n">
        <v>65</v>
      </c>
      <c r="K712" s="13" t="s">
        <v>1475</v>
      </c>
      <c r="L712" s="13" t="s">
        <v>1443</v>
      </c>
      <c r="M712" s="13"/>
    </row>
    <row r="713" customFormat="false" ht="15" hidden="false" customHeight="false" outlineLevel="0" collapsed="false">
      <c r="A713" s="13" t="s">
        <v>595</v>
      </c>
      <c r="B713" s="13" t="s">
        <v>594</v>
      </c>
      <c r="C713" s="13" t="s">
        <v>1448</v>
      </c>
      <c r="D713" s="13" t="s">
        <v>1469</v>
      </c>
      <c r="E713" s="13" t="s">
        <v>1481</v>
      </c>
      <c r="F713" s="13" t="s">
        <v>1482</v>
      </c>
      <c r="G713" s="61" t="n">
        <v>8764830069</v>
      </c>
      <c r="H713" s="13" t="s">
        <v>1435</v>
      </c>
      <c r="I713" s="13" t="s">
        <v>1472</v>
      </c>
      <c r="J713" s="13" t="n">
        <v>76</v>
      </c>
      <c r="K713" s="13" t="s">
        <v>1476</v>
      </c>
      <c r="L713" s="13" t="s">
        <v>1443</v>
      </c>
      <c r="M713" s="13"/>
    </row>
    <row r="714" customFormat="false" ht="15" hidden="false" customHeight="false" outlineLevel="0" collapsed="false">
      <c r="A714" s="13" t="s">
        <v>595</v>
      </c>
      <c r="B714" s="13" t="s">
        <v>594</v>
      </c>
      <c r="C714" s="13" t="s">
        <v>1439</v>
      </c>
      <c r="D714" s="13" t="s">
        <v>1469</v>
      </c>
      <c r="E714" s="13" t="s">
        <v>1481</v>
      </c>
      <c r="F714" s="13" t="s">
        <v>1480</v>
      </c>
      <c r="G714" s="61" t="n">
        <v>3703875851</v>
      </c>
      <c r="H714" s="13" t="s">
        <v>1435</v>
      </c>
      <c r="I714" s="13" t="s">
        <v>1472</v>
      </c>
      <c r="J714" s="13" t="n">
        <v>76</v>
      </c>
      <c r="K714" s="13" t="s">
        <v>1473</v>
      </c>
      <c r="L714" s="13" t="s">
        <v>1438</v>
      </c>
      <c r="M714" s="13"/>
    </row>
    <row r="715" customFormat="false" ht="15" hidden="false" customHeight="false" outlineLevel="0" collapsed="false">
      <c r="A715" s="13" t="s">
        <v>595</v>
      </c>
      <c r="B715" s="13" t="s">
        <v>594</v>
      </c>
      <c r="C715" s="13" t="s">
        <v>1442</v>
      </c>
      <c r="D715" s="13" t="s">
        <v>1469</v>
      </c>
      <c r="E715" s="13" t="s">
        <v>1481</v>
      </c>
      <c r="F715" s="13" t="s">
        <v>1480</v>
      </c>
      <c r="G715" s="61" t="n">
        <v>4830286085</v>
      </c>
      <c r="H715" s="13" t="s">
        <v>1435</v>
      </c>
      <c r="I715" s="13" t="s">
        <v>1472</v>
      </c>
      <c r="J715" s="13" t="n">
        <v>76</v>
      </c>
      <c r="K715" s="13" t="s">
        <v>1473</v>
      </c>
      <c r="L715" s="13" t="s">
        <v>1443</v>
      </c>
      <c r="M715" s="13"/>
    </row>
    <row r="716" customFormat="false" ht="15" hidden="false" customHeight="false" outlineLevel="0" collapsed="false">
      <c r="A716" s="13" t="s">
        <v>595</v>
      </c>
      <c r="B716" s="13" t="s">
        <v>594</v>
      </c>
      <c r="C716" s="13" t="s">
        <v>1444</v>
      </c>
      <c r="D716" s="13" t="s">
        <v>1469</v>
      </c>
      <c r="E716" s="13" t="s">
        <v>1481</v>
      </c>
      <c r="F716" s="13" t="s">
        <v>1480</v>
      </c>
      <c r="G716" s="61" t="n">
        <v>3624713089</v>
      </c>
      <c r="H716" s="13" t="s">
        <v>1435</v>
      </c>
      <c r="I716" s="13" t="s">
        <v>1472</v>
      </c>
      <c r="J716" s="13" t="n">
        <v>67</v>
      </c>
      <c r="K716" s="13" t="s">
        <v>1474</v>
      </c>
      <c r="L716" s="13" t="s">
        <v>1443</v>
      </c>
      <c r="M716" s="13"/>
    </row>
    <row r="717" customFormat="false" ht="15" hidden="false" customHeight="false" outlineLevel="0" collapsed="false">
      <c r="A717" s="13" t="s">
        <v>595</v>
      </c>
      <c r="B717" s="13" t="s">
        <v>594</v>
      </c>
      <c r="C717" s="13" t="s">
        <v>1446</v>
      </c>
      <c r="D717" s="13" t="s">
        <v>1469</v>
      </c>
      <c r="E717" s="13" t="s">
        <v>1481</v>
      </c>
      <c r="F717" s="13" t="s">
        <v>1480</v>
      </c>
      <c r="G717" s="61" t="n">
        <v>6008151196</v>
      </c>
      <c r="H717" s="13" t="s">
        <v>1435</v>
      </c>
      <c r="I717" s="13" t="s">
        <v>1472</v>
      </c>
      <c r="J717" s="13" t="n">
        <v>65</v>
      </c>
      <c r="K717" s="13" t="s">
        <v>1475</v>
      </c>
      <c r="L717" s="13" t="s">
        <v>1443</v>
      </c>
      <c r="M717" s="13"/>
    </row>
    <row r="718" customFormat="false" ht="15" hidden="false" customHeight="false" outlineLevel="0" collapsed="false">
      <c r="A718" s="13" t="s">
        <v>595</v>
      </c>
      <c r="B718" s="13" t="s">
        <v>594</v>
      </c>
      <c r="C718" s="13" t="s">
        <v>1448</v>
      </c>
      <c r="D718" s="13" t="s">
        <v>1469</v>
      </c>
      <c r="E718" s="13" t="s">
        <v>1481</v>
      </c>
      <c r="F718" s="13" t="s">
        <v>1480</v>
      </c>
      <c r="G718" s="61" t="n">
        <v>6980454453</v>
      </c>
      <c r="H718" s="13" t="s">
        <v>1435</v>
      </c>
      <c r="I718" s="13" t="s">
        <v>1472</v>
      </c>
      <c r="J718" s="13" t="n">
        <v>76</v>
      </c>
      <c r="K718" s="13" t="s">
        <v>1476</v>
      </c>
      <c r="L718" s="13" t="s">
        <v>1443</v>
      </c>
      <c r="M718" s="13"/>
    </row>
    <row r="719" customFormat="false" ht="15" hidden="false" customHeight="false" outlineLevel="0" collapsed="false">
      <c r="A719" s="13" t="s">
        <v>595</v>
      </c>
      <c r="B719" s="13" t="s">
        <v>594</v>
      </c>
      <c r="C719" s="13" t="s">
        <v>1448</v>
      </c>
      <c r="D719" s="13" t="s">
        <v>1469</v>
      </c>
      <c r="E719" s="13" t="s">
        <v>1483</v>
      </c>
      <c r="F719" s="13" t="s">
        <v>1484</v>
      </c>
      <c r="G719" s="61" t="n">
        <v>97800000000</v>
      </c>
      <c r="H719" s="13" t="s">
        <v>1435</v>
      </c>
      <c r="I719" s="13" t="s">
        <v>1472</v>
      </c>
      <c r="J719" s="13" t="n">
        <v>76</v>
      </c>
      <c r="K719" s="13" t="s">
        <v>1476</v>
      </c>
      <c r="L719" s="13" t="s">
        <v>1443</v>
      </c>
      <c r="M719" s="13"/>
    </row>
    <row r="720" customFormat="false" ht="15" hidden="false" customHeight="false" outlineLevel="0" collapsed="false">
      <c r="A720" s="13" t="s">
        <v>595</v>
      </c>
      <c r="B720" s="13" t="s">
        <v>594</v>
      </c>
      <c r="C720" s="13" t="s">
        <v>1439</v>
      </c>
      <c r="D720" s="13" t="s">
        <v>1469</v>
      </c>
      <c r="E720" s="13" t="s">
        <v>1485</v>
      </c>
      <c r="F720" s="13" t="s">
        <v>1486</v>
      </c>
      <c r="G720" s="61" t="n">
        <v>290934356126</v>
      </c>
      <c r="H720" s="13" t="s">
        <v>1435</v>
      </c>
      <c r="I720" s="13" t="s">
        <v>1472</v>
      </c>
      <c r="J720" s="13" t="n">
        <v>76</v>
      </c>
      <c r="K720" s="13" t="s">
        <v>1473</v>
      </c>
      <c r="L720" s="13" t="s">
        <v>1438</v>
      </c>
      <c r="M720" s="13"/>
    </row>
    <row r="721" customFormat="false" ht="15" hidden="false" customHeight="false" outlineLevel="0" collapsed="false">
      <c r="A721" s="13" t="s">
        <v>595</v>
      </c>
      <c r="B721" s="13" t="s">
        <v>594</v>
      </c>
      <c r="C721" s="13" t="s">
        <v>1442</v>
      </c>
      <c r="D721" s="13" t="s">
        <v>1469</v>
      </c>
      <c r="E721" s="13" t="s">
        <v>1485</v>
      </c>
      <c r="F721" s="13" t="s">
        <v>1486</v>
      </c>
      <c r="G721" s="61" t="n">
        <v>233970724609</v>
      </c>
      <c r="H721" s="13" t="s">
        <v>1435</v>
      </c>
      <c r="I721" s="13" t="s">
        <v>1472</v>
      </c>
      <c r="J721" s="13" t="n">
        <v>76</v>
      </c>
      <c r="K721" s="13" t="s">
        <v>1473</v>
      </c>
      <c r="L721" s="13" t="s">
        <v>1443</v>
      </c>
      <c r="M721" s="13"/>
    </row>
    <row r="722" customFormat="false" ht="15" hidden="false" customHeight="false" outlineLevel="0" collapsed="false">
      <c r="A722" s="13" t="s">
        <v>595</v>
      </c>
      <c r="B722" s="13" t="s">
        <v>594</v>
      </c>
      <c r="C722" s="13" t="s">
        <v>1444</v>
      </c>
      <c r="D722" s="13" t="s">
        <v>1469</v>
      </c>
      <c r="E722" s="13" t="s">
        <v>1485</v>
      </c>
      <c r="F722" s="13" t="s">
        <v>1486</v>
      </c>
      <c r="G722" s="61" t="n">
        <v>242680799183</v>
      </c>
      <c r="H722" s="13" t="s">
        <v>1435</v>
      </c>
      <c r="I722" s="13" t="s">
        <v>1472</v>
      </c>
      <c r="J722" s="13" t="n">
        <v>67</v>
      </c>
      <c r="K722" s="13" t="s">
        <v>1474</v>
      </c>
      <c r="L722" s="13" t="s">
        <v>1443</v>
      </c>
      <c r="M722" s="13"/>
    </row>
    <row r="723" customFormat="false" ht="15" hidden="false" customHeight="false" outlineLevel="0" collapsed="false">
      <c r="A723" s="13" t="s">
        <v>595</v>
      </c>
      <c r="B723" s="13" t="s">
        <v>594</v>
      </c>
      <c r="C723" s="13" t="s">
        <v>1446</v>
      </c>
      <c r="D723" s="13" t="s">
        <v>1469</v>
      </c>
      <c r="E723" s="13" t="s">
        <v>1485</v>
      </c>
      <c r="F723" s="13" t="s">
        <v>1486</v>
      </c>
      <c r="G723" s="61" t="n">
        <v>319022410802</v>
      </c>
      <c r="H723" s="13" t="s">
        <v>1435</v>
      </c>
      <c r="I723" s="13" t="s">
        <v>1472</v>
      </c>
      <c r="J723" s="13" t="n">
        <v>65</v>
      </c>
      <c r="K723" s="13" t="s">
        <v>1475</v>
      </c>
      <c r="L723" s="13" t="s">
        <v>1443</v>
      </c>
      <c r="M723" s="13"/>
    </row>
    <row r="724" customFormat="false" ht="15" hidden="false" customHeight="false" outlineLevel="0" collapsed="false">
      <c r="A724" s="13" t="s">
        <v>595</v>
      </c>
      <c r="B724" s="13" t="s">
        <v>594</v>
      </c>
      <c r="C724" s="13" t="s">
        <v>1448</v>
      </c>
      <c r="D724" s="13" t="s">
        <v>1469</v>
      </c>
      <c r="E724" s="13" t="s">
        <v>1485</v>
      </c>
      <c r="F724" s="13" t="s">
        <v>1486</v>
      </c>
      <c r="G724" s="61" t="n">
        <v>439751605228</v>
      </c>
      <c r="H724" s="13" t="s">
        <v>1435</v>
      </c>
      <c r="I724" s="13" t="s">
        <v>1472</v>
      </c>
      <c r="J724" s="13" t="n">
        <v>76</v>
      </c>
      <c r="K724" s="13" t="s">
        <v>1476</v>
      </c>
      <c r="L724" s="13" t="s">
        <v>1443</v>
      </c>
      <c r="M724" s="13"/>
    </row>
    <row r="725" customFormat="false" ht="15" hidden="false" customHeight="false" outlineLevel="0" collapsed="false">
      <c r="A725" s="13" t="s">
        <v>595</v>
      </c>
      <c r="B725" s="13" t="s">
        <v>594</v>
      </c>
      <c r="C725" s="13" t="s">
        <v>1444</v>
      </c>
      <c r="D725" s="13" t="s">
        <v>1469</v>
      </c>
      <c r="E725" s="13" t="s">
        <v>1487</v>
      </c>
      <c r="F725" s="13" t="s">
        <v>1488</v>
      </c>
      <c r="G725" s="61" t="n">
        <v>53752817033</v>
      </c>
      <c r="H725" s="13" t="s">
        <v>1435</v>
      </c>
      <c r="I725" s="13" t="s">
        <v>1489</v>
      </c>
      <c r="J725" s="13" t="n">
        <v>67</v>
      </c>
      <c r="K725" s="13" t="s">
        <v>1474</v>
      </c>
      <c r="L725" s="13" t="s">
        <v>1443</v>
      </c>
      <c r="M725" s="13"/>
    </row>
    <row r="726" customFormat="false" ht="15" hidden="false" customHeight="false" outlineLevel="0" collapsed="false">
      <c r="A726" s="13" t="s">
        <v>595</v>
      </c>
      <c r="B726" s="13" t="s">
        <v>594</v>
      </c>
      <c r="C726" s="13" t="s">
        <v>1446</v>
      </c>
      <c r="D726" s="13" t="s">
        <v>1469</v>
      </c>
      <c r="E726" s="13" t="s">
        <v>1487</v>
      </c>
      <c r="F726" s="13" t="s">
        <v>1488</v>
      </c>
      <c r="G726" s="61" t="n">
        <v>56136910913</v>
      </c>
      <c r="H726" s="13" t="s">
        <v>1435</v>
      </c>
      <c r="I726" s="13" t="s">
        <v>1489</v>
      </c>
      <c r="J726" s="13" t="n">
        <v>65</v>
      </c>
      <c r="K726" s="13" t="s">
        <v>1475</v>
      </c>
      <c r="L726" s="13" t="s">
        <v>1443</v>
      </c>
      <c r="M726" s="13"/>
    </row>
    <row r="727" customFormat="false" ht="15" hidden="false" customHeight="false" outlineLevel="0" collapsed="false">
      <c r="A727" s="13" t="s">
        <v>595</v>
      </c>
      <c r="B727" s="13" t="s">
        <v>594</v>
      </c>
      <c r="C727" s="13" t="s">
        <v>1448</v>
      </c>
      <c r="D727" s="13" t="s">
        <v>1469</v>
      </c>
      <c r="E727" s="13" t="s">
        <v>1487</v>
      </c>
      <c r="F727" s="13" t="s">
        <v>1488</v>
      </c>
      <c r="G727" s="61" t="n">
        <v>63395778416</v>
      </c>
      <c r="H727" s="13" t="s">
        <v>1435</v>
      </c>
      <c r="I727" s="13" t="s">
        <v>1489</v>
      </c>
      <c r="J727" s="13" t="n">
        <v>76</v>
      </c>
      <c r="K727" s="13" t="s">
        <v>1476</v>
      </c>
      <c r="L727" s="13" t="s">
        <v>1443</v>
      </c>
      <c r="M727" s="13"/>
    </row>
    <row r="728" customFormat="false" ht="15" hidden="false" customHeight="false" outlineLevel="0" collapsed="false">
      <c r="A728" s="13" t="s">
        <v>595</v>
      </c>
      <c r="B728" s="13" t="s">
        <v>594</v>
      </c>
      <c r="C728" s="13" t="s">
        <v>1444</v>
      </c>
      <c r="D728" s="13" t="s">
        <v>1469</v>
      </c>
      <c r="E728" s="13" t="s">
        <v>1487</v>
      </c>
      <c r="F728" s="13" t="s">
        <v>1490</v>
      </c>
      <c r="G728" s="61" t="n">
        <v>29196274360</v>
      </c>
      <c r="H728" s="13" t="s">
        <v>1435</v>
      </c>
      <c r="I728" s="13" t="s">
        <v>1489</v>
      </c>
      <c r="J728" s="13" t="n">
        <v>67</v>
      </c>
      <c r="K728" s="13" t="s">
        <v>1474</v>
      </c>
      <c r="L728" s="13" t="s">
        <v>1443</v>
      </c>
      <c r="M728" s="13"/>
    </row>
    <row r="729" customFormat="false" ht="15" hidden="false" customHeight="false" outlineLevel="0" collapsed="false">
      <c r="A729" s="13" t="s">
        <v>595</v>
      </c>
      <c r="B729" s="13" t="s">
        <v>594</v>
      </c>
      <c r="C729" s="13" t="s">
        <v>1446</v>
      </c>
      <c r="D729" s="13" t="s">
        <v>1469</v>
      </c>
      <c r="E729" s="13" t="s">
        <v>1487</v>
      </c>
      <c r="F729" s="13" t="s">
        <v>1490</v>
      </c>
      <c r="G729" s="61" t="n">
        <v>69246864317</v>
      </c>
      <c r="H729" s="13" t="s">
        <v>1435</v>
      </c>
      <c r="I729" s="13" t="s">
        <v>1489</v>
      </c>
      <c r="J729" s="13" t="n">
        <v>65</v>
      </c>
      <c r="K729" s="13" t="s">
        <v>1475</v>
      </c>
      <c r="L729" s="13" t="s">
        <v>1443</v>
      </c>
      <c r="M729" s="13"/>
    </row>
    <row r="730" customFormat="false" ht="15" hidden="false" customHeight="false" outlineLevel="0" collapsed="false">
      <c r="A730" s="13" t="s">
        <v>595</v>
      </c>
      <c r="B730" s="13" t="s">
        <v>594</v>
      </c>
      <c r="C730" s="13" t="s">
        <v>1448</v>
      </c>
      <c r="D730" s="13" t="s">
        <v>1469</v>
      </c>
      <c r="E730" s="13" t="s">
        <v>1487</v>
      </c>
      <c r="F730" s="13" t="s">
        <v>1490</v>
      </c>
      <c r="G730" s="61" t="n">
        <v>57975226027</v>
      </c>
      <c r="H730" s="13" t="s">
        <v>1435</v>
      </c>
      <c r="I730" s="13" t="s">
        <v>1489</v>
      </c>
      <c r="J730" s="13" t="n">
        <v>76</v>
      </c>
      <c r="K730" s="13" t="s">
        <v>1476</v>
      </c>
      <c r="L730" s="13" t="s">
        <v>1443</v>
      </c>
      <c r="M730" s="13"/>
    </row>
    <row r="731" customFormat="false" ht="15" hidden="false" customHeight="false" outlineLevel="0" collapsed="false">
      <c r="A731" s="13" t="s">
        <v>595</v>
      </c>
      <c r="B731" s="13" t="s">
        <v>594</v>
      </c>
      <c r="C731" s="13" t="s">
        <v>1439</v>
      </c>
      <c r="D731" s="13" t="s">
        <v>1469</v>
      </c>
      <c r="E731" s="13" t="s">
        <v>1487</v>
      </c>
      <c r="F731" s="13" t="s">
        <v>1478</v>
      </c>
      <c r="G731" s="61" t="n">
        <v>47583755931</v>
      </c>
      <c r="H731" s="13" t="s">
        <v>1435</v>
      </c>
      <c r="I731" s="13" t="s">
        <v>1489</v>
      </c>
      <c r="J731" s="13" t="n">
        <v>76</v>
      </c>
      <c r="K731" s="13" t="s">
        <v>1473</v>
      </c>
      <c r="L731" s="13" t="s">
        <v>1438</v>
      </c>
      <c r="M731" s="13"/>
    </row>
    <row r="732" customFormat="false" ht="15" hidden="false" customHeight="false" outlineLevel="0" collapsed="false">
      <c r="A732" s="13" t="s">
        <v>595</v>
      </c>
      <c r="B732" s="13" t="s">
        <v>594</v>
      </c>
      <c r="C732" s="13" t="s">
        <v>1442</v>
      </c>
      <c r="D732" s="13" t="s">
        <v>1469</v>
      </c>
      <c r="E732" s="13" t="s">
        <v>1487</v>
      </c>
      <c r="F732" s="13" t="s">
        <v>1478</v>
      </c>
      <c r="G732" s="61" t="n">
        <v>41597478556</v>
      </c>
      <c r="H732" s="13" t="s">
        <v>1435</v>
      </c>
      <c r="I732" s="13" t="s">
        <v>1489</v>
      </c>
      <c r="J732" s="13" t="n">
        <v>76</v>
      </c>
      <c r="K732" s="13" t="s">
        <v>1473</v>
      </c>
      <c r="L732" s="13" t="s">
        <v>1443</v>
      </c>
      <c r="M732" s="13"/>
    </row>
    <row r="733" customFormat="false" ht="15" hidden="false" customHeight="false" outlineLevel="0" collapsed="false">
      <c r="A733" s="13" t="s">
        <v>595</v>
      </c>
      <c r="B733" s="13" t="s">
        <v>594</v>
      </c>
      <c r="C733" s="13" t="s">
        <v>1444</v>
      </c>
      <c r="D733" s="13" t="s">
        <v>1469</v>
      </c>
      <c r="E733" s="13" t="s">
        <v>1487</v>
      </c>
      <c r="F733" s="13" t="s">
        <v>1478</v>
      </c>
      <c r="G733" s="61" t="n">
        <v>36214766736</v>
      </c>
      <c r="H733" s="13" t="s">
        <v>1435</v>
      </c>
      <c r="I733" s="13" t="s">
        <v>1489</v>
      </c>
      <c r="J733" s="13" t="n">
        <v>67</v>
      </c>
      <c r="K733" s="13" t="s">
        <v>1474</v>
      </c>
      <c r="L733" s="13" t="s">
        <v>1443</v>
      </c>
      <c r="M733" s="13"/>
    </row>
    <row r="734" customFormat="false" ht="15" hidden="false" customHeight="false" outlineLevel="0" collapsed="false">
      <c r="A734" s="13" t="s">
        <v>595</v>
      </c>
      <c r="B734" s="13" t="s">
        <v>594</v>
      </c>
      <c r="C734" s="13" t="s">
        <v>1446</v>
      </c>
      <c r="D734" s="13" t="s">
        <v>1469</v>
      </c>
      <c r="E734" s="13" t="s">
        <v>1487</v>
      </c>
      <c r="F734" s="13" t="s">
        <v>1478</v>
      </c>
      <c r="G734" s="61" t="n">
        <v>46011351956</v>
      </c>
      <c r="H734" s="13" t="s">
        <v>1435</v>
      </c>
      <c r="I734" s="13" t="s">
        <v>1489</v>
      </c>
      <c r="J734" s="13" t="n">
        <v>65</v>
      </c>
      <c r="K734" s="13" t="s">
        <v>1475</v>
      </c>
      <c r="L734" s="13" t="s">
        <v>1443</v>
      </c>
      <c r="M734" s="13"/>
    </row>
    <row r="735" customFormat="false" ht="15" hidden="false" customHeight="false" outlineLevel="0" collapsed="false">
      <c r="A735" s="13" t="s">
        <v>595</v>
      </c>
      <c r="B735" s="13" t="s">
        <v>594</v>
      </c>
      <c r="C735" s="13" t="s">
        <v>1448</v>
      </c>
      <c r="D735" s="13" t="s">
        <v>1469</v>
      </c>
      <c r="E735" s="13" t="s">
        <v>1487</v>
      </c>
      <c r="F735" s="13" t="s">
        <v>1478</v>
      </c>
      <c r="G735" s="61" t="n">
        <v>56179311287</v>
      </c>
      <c r="H735" s="13" t="s">
        <v>1435</v>
      </c>
      <c r="I735" s="13" t="s">
        <v>1489</v>
      </c>
      <c r="J735" s="13" t="n">
        <v>76</v>
      </c>
      <c r="K735" s="13" t="s">
        <v>1476</v>
      </c>
      <c r="L735" s="13" t="s">
        <v>1443</v>
      </c>
      <c r="M735" s="13"/>
    </row>
    <row r="736" customFormat="false" ht="15" hidden="false" customHeight="false" outlineLevel="0" collapsed="false">
      <c r="A736" s="13" t="s">
        <v>595</v>
      </c>
      <c r="B736" s="13" t="s">
        <v>594</v>
      </c>
      <c r="C736" s="13" t="s">
        <v>1439</v>
      </c>
      <c r="D736" s="13" t="s">
        <v>1469</v>
      </c>
      <c r="E736" s="13" t="s">
        <v>1487</v>
      </c>
      <c r="F736" s="13" t="s">
        <v>1491</v>
      </c>
      <c r="G736" s="61" t="n">
        <v>17297314280</v>
      </c>
      <c r="H736" s="13" t="s">
        <v>1435</v>
      </c>
      <c r="I736" s="13" t="s">
        <v>1489</v>
      </c>
      <c r="J736" s="13" t="n">
        <v>76</v>
      </c>
      <c r="K736" s="13" t="s">
        <v>1473</v>
      </c>
      <c r="L736" s="13" t="s">
        <v>1438</v>
      </c>
      <c r="M736" s="13"/>
    </row>
    <row r="737" customFormat="false" ht="15" hidden="false" customHeight="false" outlineLevel="0" collapsed="false">
      <c r="A737" s="13" t="s">
        <v>595</v>
      </c>
      <c r="B737" s="13" t="s">
        <v>594</v>
      </c>
      <c r="C737" s="13" t="s">
        <v>1442</v>
      </c>
      <c r="D737" s="13" t="s">
        <v>1469</v>
      </c>
      <c r="E737" s="13" t="s">
        <v>1487</v>
      </c>
      <c r="F737" s="13" t="s">
        <v>1491</v>
      </c>
      <c r="G737" s="61" t="n">
        <v>22877629559</v>
      </c>
      <c r="H737" s="13" t="s">
        <v>1435</v>
      </c>
      <c r="I737" s="13" t="s">
        <v>1489</v>
      </c>
      <c r="J737" s="13" t="n">
        <v>76</v>
      </c>
      <c r="K737" s="13" t="s">
        <v>1473</v>
      </c>
      <c r="L737" s="13" t="s">
        <v>1443</v>
      </c>
      <c r="M737" s="13"/>
    </row>
    <row r="738" customFormat="false" ht="15" hidden="false" customHeight="false" outlineLevel="0" collapsed="false">
      <c r="A738" s="13" t="s">
        <v>595</v>
      </c>
      <c r="B738" s="13" t="s">
        <v>594</v>
      </c>
      <c r="C738" s="13" t="s">
        <v>1444</v>
      </c>
      <c r="D738" s="13" t="s">
        <v>1469</v>
      </c>
      <c r="E738" s="13" t="s">
        <v>1487</v>
      </c>
      <c r="F738" s="13" t="s">
        <v>1491</v>
      </c>
      <c r="G738" s="61" t="n">
        <v>21584974350</v>
      </c>
      <c r="H738" s="13" t="s">
        <v>1435</v>
      </c>
      <c r="I738" s="13" t="s">
        <v>1489</v>
      </c>
      <c r="J738" s="13" t="n">
        <v>67</v>
      </c>
      <c r="K738" s="13" t="s">
        <v>1474</v>
      </c>
      <c r="L738" s="13" t="s">
        <v>1443</v>
      </c>
      <c r="M738" s="13"/>
    </row>
    <row r="739" customFormat="false" ht="15" hidden="false" customHeight="false" outlineLevel="0" collapsed="false">
      <c r="A739" s="13" t="s">
        <v>595</v>
      </c>
      <c r="B739" s="13" t="s">
        <v>594</v>
      </c>
      <c r="C739" s="13" t="s">
        <v>1446</v>
      </c>
      <c r="D739" s="13" t="s">
        <v>1469</v>
      </c>
      <c r="E739" s="13" t="s">
        <v>1487</v>
      </c>
      <c r="F739" s="13" t="s">
        <v>1491</v>
      </c>
      <c r="G739" s="61" t="n">
        <v>25515756073</v>
      </c>
      <c r="H739" s="13" t="s">
        <v>1435</v>
      </c>
      <c r="I739" s="13" t="s">
        <v>1489</v>
      </c>
      <c r="J739" s="13" t="n">
        <v>65</v>
      </c>
      <c r="K739" s="13" t="s">
        <v>1475</v>
      </c>
      <c r="L739" s="13" t="s">
        <v>1443</v>
      </c>
      <c r="M739" s="13"/>
    </row>
    <row r="740" customFormat="false" ht="15" hidden="false" customHeight="false" outlineLevel="0" collapsed="false">
      <c r="A740" s="13" t="s">
        <v>595</v>
      </c>
      <c r="B740" s="13" t="s">
        <v>594</v>
      </c>
      <c r="C740" s="13" t="s">
        <v>1448</v>
      </c>
      <c r="D740" s="13" t="s">
        <v>1469</v>
      </c>
      <c r="E740" s="13" t="s">
        <v>1487</v>
      </c>
      <c r="F740" s="13" t="s">
        <v>1491</v>
      </c>
      <c r="G740" s="61" t="n">
        <v>26326052136</v>
      </c>
      <c r="H740" s="13" t="s">
        <v>1435</v>
      </c>
      <c r="I740" s="13" t="s">
        <v>1489</v>
      </c>
      <c r="J740" s="13" t="n">
        <v>76</v>
      </c>
      <c r="K740" s="13" t="s">
        <v>1476</v>
      </c>
      <c r="L740" s="13" t="s">
        <v>1443</v>
      </c>
      <c r="M740" s="13"/>
    </row>
    <row r="741" customFormat="false" ht="15" hidden="false" customHeight="false" outlineLevel="0" collapsed="false">
      <c r="A741" s="13" t="s">
        <v>595</v>
      </c>
      <c r="B741" s="13" t="s">
        <v>594</v>
      </c>
      <c r="C741" s="13" t="s">
        <v>1439</v>
      </c>
      <c r="D741" s="13" t="s">
        <v>1469</v>
      </c>
      <c r="E741" s="13" t="s">
        <v>1487</v>
      </c>
      <c r="F741" s="13" t="s">
        <v>1492</v>
      </c>
      <c r="G741" s="61" t="n">
        <v>7279969949</v>
      </c>
      <c r="H741" s="13" t="s">
        <v>1435</v>
      </c>
      <c r="I741" s="13" t="s">
        <v>1489</v>
      </c>
      <c r="J741" s="13" t="n">
        <v>76</v>
      </c>
      <c r="K741" s="13" t="s">
        <v>1473</v>
      </c>
      <c r="L741" s="13" t="s">
        <v>1438</v>
      </c>
      <c r="M741" s="13"/>
    </row>
    <row r="742" customFormat="false" ht="15" hidden="false" customHeight="false" outlineLevel="0" collapsed="false">
      <c r="A742" s="13" t="s">
        <v>595</v>
      </c>
      <c r="B742" s="13" t="s">
        <v>594</v>
      </c>
      <c r="C742" s="13" t="s">
        <v>1442</v>
      </c>
      <c r="D742" s="13" t="s">
        <v>1469</v>
      </c>
      <c r="E742" s="13" t="s">
        <v>1487</v>
      </c>
      <c r="F742" s="13" t="s">
        <v>1492</v>
      </c>
      <c r="G742" s="61" t="n">
        <v>5033270720</v>
      </c>
      <c r="H742" s="13" t="s">
        <v>1435</v>
      </c>
      <c r="I742" s="13" t="s">
        <v>1489</v>
      </c>
      <c r="J742" s="13" t="n">
        <v>76</v>
      </c>
      <c r="K742" s="13" t="s">
        <v>1473</v>
      </c>
      <c r="L742" s="13" t="s">
        <v>1443</v>
      </c>
      <c r="M742" s="13"/>
    </row>
    <row r="743" customFormat="false" ht="15" hidden="false" customHeight="false" outlineLevel="0" collapsed="false">
      <c r="A743" s="13" t="s">
        <v>595</v>
      </c>
      <c r="B743" s="13" t="s">
        <v>594</v>
      </c>
      <c r="C743" s="13" t="s">
        <v>1444</v>
      </c>
      <c r="D743" s="13" t="s">
        <v>1469</v>
      </c>
      <c r="E743" s="13" t="s">
        <v>1487</v>
      </c>
      <c r="F743" s="13" t="s">
        <v>1492</v>
      </c>
      <c r="G743" s="61" t="n">
        <v>3883308486</v>
      </c>
      <c r="H743" s="13" t="s">
        <v>1435</v>
      </c>
      <c r="I743" s="13" t="s">
        <v>1489</v>
      </c>
      <c r="J743" s="13" t="n">
        <v>67</v>
      </c>
      <c r="K743" s="13" t="s">
        <v>1474</v>
      </c>
      <c r="L743" s="13" t="s">
        <v>1443</v>
      </c>
      <c r="M743" s="13"/>
    </row>
    <row r="744" customFormat="false" ht="15" hidden="false" customHeight="false" outlineLevel="0" collapsed="false">
      <c r="A744" s="13" t="s">
        <v>595</v>
      </c>
      <c r="B744" s="13" t="s">
        <v>594</v>
      </c>
      <c r="C744" s="13" t="s">
        <v>1446</v>
      </c>
      <c r="D744" s="13" t="s">
        <v>1469</v>
      </c>
      <c r="E744" s="13" t="s">
        <v>1487</v>
      </c>
      <c r="F744" s="13" t="s">
        <v>1492</v>
      </c>
      <c r="G744" s="61" t="n">
        <v>5515498100</v>
      </c>
      <c r="H744" s="13" t="s">
        <v>1435</v>
      </c>
      <c r="I744" s="13" t="s">
        <v>1489</v>
      </c>
      <c r="J744" s="13" t="n">
        <v>65</v>
      </c>
      <c r="K744" s="13" t="s">
        <v>1475</v>
      </c>
      <c r="L744" s="13" t="s">
        <v>1443</v>
      </c>
      <c r="M744" s="13"/>
    </row>
    <row r="745" customFormat="false" ht="15" hidden="false" customHeight="false" outlineLevel="0" collapsed="false">
      <c r="A745" s="13" t="s">
        <v>595</v>
      </c>
      <c r="B745" s="13" t="s">
        <v>594</v>
      </c>
      <c r="C745" s="13" t="s">
        <v>1448</v>
      </c>
      <c r="D745" s="13" t="s">
        <v>1469</v>
      </c>
      <c r="E745" s="13" t="s">
        <v>1487</v>
      </c>
      <c r="F745" s="13" t="s">
        <v>1492</v>
      </c>
      <c r="G745" s="61" t="n">
        <v>6750975538</v>
      </c>
      <c r="H745" s="13" t="s">
        <v>1435</v>
      </c>
      <c r="I745" s="13" t="s">
        <v>1489</v>
      </c>
      <c r="J745" s="13" t="n">
        <v>76</v>
      </c>
      <c r="K745" s="13" t="s">
        <v>1476</v>
      </c>
      <c r="L745" s="13" t="s">
        <v>1443</v>
      </c>
      <c r="M745" s="13"/>
    </row>
    <row r="746" customFormat="false" ht="15" hidden="false" customHeight="false" outlineLevel="0" collapsed="false">
      <c r="A746" s="13" t="s">
        <v>595</v>
      </c>
      <c r="B746" s="13" t="s">
        <v>594</v>
      </c>
      <c r="C746" s="13" t="s">
        <v>1439</v>
      </c>
      <c r="D746" s="13" t="s">
        <v>1469</v>
      </c>
      <c r="E746" s="13" t="s">
        <v>1487</v>
      </c>
      <c r="F746" s="13" t="s">
        <v>1479</v>
      </c>
      <c r="G746" s="61" t="n">
        <v>3354135472</v>
      </c>
      <c r="H746" s="13" t="s">
        <v>1435</v>
      </c>
      <c r="I746" s="13" t="s">
        <v>1489</v>
      </c>
      <c r="J746" s="13" t="n">
        <v>76</v>
      </c>
      <c r="K746" s="13" t="s">
        <v>1473</v>
      </c>
      <c r="L746" s="13" t="s">
        <v>1438</v>
      </c>
      <c r="M746" s="13"/>
    </row>
    <row r="747" customFormat="false" ht="15" hidden="false" customHeight="false" outlineLevel="0" collapsed="false">
      <c r="A747" s="13" t="s">
        <v>595</v>
      </c>
      <c r="B747" s="13" t="s">
        <v>594</v>
      </c>
      <c r="C747" s="13" t="s">
        <v>1442</v>
      </c>
      <c r="D747" s="13" t="s">
        <v>1469</v>
      </c>
      <c r="E747" s="13" t="s">
        <v>1487</v>
      </c>
      <c r="F747" s="13" t="s">
        <v>1479</v>
      </c>
      <c r="G747" s="61" t="n">
        <v>3081837214</v>
      </c>
      <c r="H747" s="13" t="s">
        <v>1435</v>
      </c>
      <c r="I747" s="13" t="s">
        <v>1489</v>
      </c>
      <c r="J747" s="13" t="n">
        <v>76</v>
      </c>
      <c r="K747" s="13" t="s">
        <v>1473</v>
      </c>
      <c r="L747" s="13" t="s">
        <v>1443</v>
      </c>
      <c r="M747" s="13"/>
    </row>
    <row r="748" customFormat="false" ht="15" hidden="false" customHeight="false" outlineLevel="0" collapsed="false">
      <c r="A748" s="13" t="s">
        <v>595</v>
      </c>
      <c r="B748" s="13" t="s">
        <v>594</v>
      </c>
      <c r="C748" s="13" t="s">
        <v>1444</v>
      </c>
      <c r="D748" s="13" t="s">
        <v>1469</v>
      </c>
      <c r="E748" s="13" t="s">
        <v>1487</v>
      </c>
      <c r="F748" s="13" t="s">
        <v>1479</v>
      </c>
      <c r="G748" s="61" t="n">
        <v>4211795765</v>
      </c>
      <c r="H748" s="13" t="s">
        <v>1435</v>
      </c>
      <c r="I748" s="13" t="s">
        <v>1489</v>
      </c>
      <c r="J748" s="13" t="n">
        <v>67</v>
      </c>
      <c r="K748" s="13" t="s">
        <v>1474</v>
      </c>
      <c r="L748" s="13" t="s">
        <v>1443</v>
      </c>
      <c r="M748" s="13"/>
    </row>
    <row r="749" customFormat="false" ht="15" hidden="false" customHeight="false" outlineLevel="0" collapsed="false">
      <c r="A749" s="13" t="s">
        <v>595</v>
      </c>
      <c r="B749" s="13" t="s">
        <v>594</v>
      </c>
      <c r="C749" s="13" t="s">
        <v>1446</v>
      </c>
      <c r="D749" s="13" t="s">
        <v>1469</v>
      </c>
      <c r="E749" s="13" t="s">
        <v>1487</v>
      </c>
      <c r="F749" s="13" t="s">
        <v>1479</v>
      </c>
      <c r="G749" s="61" t="n">
        <v>4574711448</v>
      </c>
      <c r="H749" s="13" t="s">
        <v>1435</v>
      </c>
      <c r="I749" s="13" t="s">
        <v>1489</v>
      </c>
      <c r="J749" s="13" t="n">
        <v>65</v>
      </c>
      <c r="K749" s="13" t="s">
        <v>1475</v>
      </c>
      <c r="L749" s="13" t="s">
        <v>1443</v>
      </c>
      <c r="M749" s="13"/>
    </row>
    <row r="750" customFormat="false" ht="15" hidden="false" customHeight="false" outlineLevel="0" collapsed="false">
      <c r="A750" s="13" t="s">
        <v>595</v>
      </c>
      <c r="B750" s="13" t="s">
        <v>594</v>
      </c>
      <c r="C750" s="13" t="s">
        <v>1448</v>
      </c>
      <c r="D750" s="13" t="s">
        <v>1469</v>
      </c>
      <c r="E750" s="13" t="s">
        <v>1487</v>
      </c>
      <c r="F750" s="13" t="s">
        <v>1479</v>
      </c>
      <c r="G750" s="61" t="n">
        <v>5698895075</v>
      </c>
      <c r="H750" s="13" t="s">
        <v>1435</v>
      </c>
      <c r="I750" s="13" t="s">
        <v>1489</v>
      </c>
      <c r="J750" s="13" t="n">
        <v>76</v>
      </c>
      <c r="K750" s="13" t="s">
        <v>1476</v>
      </c>
      <c r="L750" s="13" t="s">
        <v>1443</v>
      </c>
      <c r="M750" s="13"/>
    </row>
    <row r="751" customFormat="false" ht="15" hidden="false" customHeight="false" outlineLevel="0" collapsed="false">
      <c r="A751" s="13" t="s">
        <v>595</v>
      </c>
      <c r="B751" s="13" t="s">
        <v>594</v>
      </c>
      <c r="C751" s="13" t="s">
        <v>1439</v>
      </c>
      <c r="D751" s="13" t="s">
        <v>1469</v>
      </c>
      <c r="E751" s="13" t="s">
        <v>1487</v>
      </c>
      <c r="F751" s="13" t="s">
        <v>1493</v>
      </c>
      <c r="G751" s="61" t="n">
        <v>15555449947</v>
      </c>
      <c r="H751" s="13" t="s">
        <v>1435</v>
      </c>
      <c r="I751" s="13" t="s">
        <v>1489</v>
      </c>
      <c r="J751" s="13" t="n">
        <v>76</v>
      </c>
      <c r="K751" s="13" t="s">
        <v>1473</v>
      </c>
      <c r="L751" s="13" t="s">
        <v>1438</v>
      </c>
      <c r="M751" s="13"/>
    </row>
    <row r="752" customFormat="false" ht="15" hidden="false" customHeight="false" outlineLevel="0" collapsed="false">
      <c r="A752" s="13" t="s">
        <v>595</v>
      </c>
      <c r="B752" s="13" t="s">
        <v>594</v>
      </c>
      <c r="C752" s="13" t="s">
        <v>1442</v>
      </c>
      <c r="D752" s="13" t="s">
        <v>1469</v>
      </c>
      <c r="E752" s="13" t="s">
        <v>1487</v>
      </c>
      <c r="F752" s="13" t="s">
        <v>1493</v>
      </c>
      <c r="G752" s="61" t="n">
        <v>4698230515</v>
      </c>
      <c r="H752" s="13" t="s">
        <v>1435</v>
      </c>
      <c r="I752" s="13" t="s">
        <v>1489</v>
      </c>
      <c r="J752" s="13" t="n">
        <v>76</v>
      </c>
      <c r="K752" s="13" t="s">
        <v>1473</v>
      </c>
      <c r="L752" s="13" t="s">
        <v>1443</v>
      </c>
      <c r="M752" s="13"/>
    </row>
    <row r="753" customFormat="false" ht="15" hidden="false" customHeight="false" outlineLevel="0" collapsed="false">
      <c r="A753" s="13" t="s">
        <v>595</v>
      </c>
      <c r="B753" s="13" t="s">
        <v>594</v>
      </c>
      <c r="C753" s="13" t="s">
        <v>1444</v>
      </c>
      <c r="D753" s="13" t="s">
        <v>1469</v>
      </c>
      <c r="E753" s="13" t="s">
        <v>1487</v>
      </c>
      <c r="F753" s="13" t="s">
        <v>1493</v>
      </c>
      <c r="G753" s="61" t="n">
        <v>2706916304</v>
      </c>
      <c r="H753" s="13" t="s">
        <v>1435</v>
      </c>
      <c r="I753" s="13" t="s">
        <v>1489</v>
      </c>
      <c r="J753" s="13" t="n">
        <v>67</v>
      </c>
      <c r="K753" s="13" t="s">
        <v>1474</v>
      </c>
      <c r="L753" s="13" t="s">
        <v>1443</v>
      </c>
      <c r="M753" s="13"/>
    </row>
    <row r="754" customFormat="false" ht="15" hidden="false" customHeight="false" outlineLevel="0" collapsed="false">
      <c r="A754" s="13" t="s">
        <v>595</v>
      </c>
      <c r="B754" s="13" t="s">
        <v>594</v>
      </c>
      <c r="C754" s="13" t="s">
        <v>1446</v>
      </c>
      <c r="D754" s="13" t="s">
        <v>1469</v>
      </c>
      <c r="E754" s="13" t="s">
        <v>1487</v>
      </c>
      <c r="F754" s="13" t="s">
        <v>1493</v>
      </c>
      <c r="G754" s="61" t="n">
        <v>3606914936</v>
      </c>
      <c r="H754" s="13" t="s">
        <v>1435</v>
      </c>
      <c r="I754" s="13" t="s">
        <v>1489</v>
      </c>
      <c r="J754" s="13" t="n">
        <v>65</v>
      </c>
      <c r="K754" s="13" t="s">
        <v>1475</v>
      </c>
      <c r="L754" s="13" t="s">
        <v>1443</v>
      </c>
      <c r="M754" s="13"/>
    </row>
    <row r="755" customFormat="false" ht="15" hidden="false" customHeight="false" outlineLevel="0" collapsed="false">
      <c r="A755" s="13" t="s">
        <v>595</v>
      </c>
      <c r="B755" s="13" t="s">
        <v>594</v>
      </c>
      <c r="C755" s="13" t="s">
        <v>1448</v>
      </c>
      <c r="D755" s="13" t="s">
        <v>1469</v>
      </c>
      <c r="E755" s="13" t="s">
        <v>1487</v>
      </c>
      <c r="F755" s="13" t="s">
        <v>1493</v>
      </c>
      <c r="G755" s="61" t="n">
        <v>3639480216</v>
      </c>
      <c r="H755" s="13" t="s">
        <v>1435</v>
      </c>
      <c r="I755" s="13" t="s">
        <v>1489</v>
      </c>
      <c r="J755" s="13" t="n">
        <v>76</v>
      </c>
      <c r="K755" s="13" t="s">
        <v>1476</v>
      </c>
      <c r="L755" s="13" t="s">
        <v>1443</v>
      </c>
      <c r="M755" s="13"/>
    </row>
    <row r="756" customFormat="false" ht="15" hidden="false" customHeight="false" outlineLevel="0" collapsed="false">
      <c r="A756" s="13" t="s">
        <v>595</v>
      </c>
      <c r="B756" s="13" t="s">
        <v>594</v>
      </c>
      <c r="C756" s="13" t="s">
        <v>1444</v>
      </c>
      <c r="D756" s="13" t="s">
        <v>1469</v>
      </c>
      <c r="E756" s="13" t="s">
        <v>1487</v>
      </c>
      <c r="F756" s="13" t="s">
        <v>1494</v>
      </c>
      <c r="G756" s="61" t="n">
        <v>939064484</v>
      </c>
      <c r="H756" s="13" t="s">
        <v>1435</v>
      </c>
      <c r="I756" s="13" t="s">
        <v>1489</v>
      </c>
      <c r="J756" s="13" t="n">
        <v>67</v>
      </c>
      <c r="K756" s="13" t="s">
        <v>1474</v>
      </c>
      <c r="L756" s="13" t="s">
        <v>1443</v>
      </c>
      <c r="M756" s="13"/>
    </row>
    <row r="757" customFormat="false" ht="15" hidden="false" customHeight="false" outlineLevel="0" collapsed="false">
      <c r="A757" s="13" t="s">
        <v>595</v>
      </c>
      <c r="B757" s="13" t="s">
        <v>594</v>
      </c>
      <c r="C757" s="13" t="s">
        <v>1446</v>
      </c>
      <c r="D757" s="13" t="s">
        <v>1469</v>
      </c>
      <c r="E757" s="13" t="s">
        <v>1487</v>
      </c>
      <c r="F757" s="13" t="s">
        <v>1494</v>
      </c>
      <c r="G757" s="61" t="n">
        <v>1647697571</v>
      </c>
      <c r="H757" s="13" t="s">
        <v>1435</v>
      </c>
      <c r="I757" s="13" t="s">
        <v>1489</v>
      </c>
      <c r="J757" s="13" t="n">
        <v>65</v>
      </c>
      <c r="K757" s="13" t="s">
        <v>1475</v>
      </c>
      <c r="L757" s="13" t="s">
        <v>1443</v>
      </c>
      <c r="M757" s="13"/>
    </row>
    <row r="758" customFormat="false" ht="15" hidden="false" customHeight="false" outlineLevel="0" collapsed="false">
      <c r="A758" s="13" t="s">
        <v>595</v>
      </c>
      <c r="B758" s="13" t="s">
        <v>594</v>
      </c>
      <c r="C758" s="13" t="s">
        <v>1448</v>
      </c>
      <c r="D758" s="13" t="s">
        <v>1469</v>
      </c>
      <c r="E758" s="13" t="s">
        <v>1487</v>
      </c>
      <c r="F758" s="13" t="s">
        <v>1494</v>
      </c>
      <c r="G758" s="61" t="n">
        <v>2111881932</v>
      </c>
      <c r="H758" s="13" t="s">
        <v>1435</v>
      </c>
      <c r="I758" s="13" t="s">
        <v>1489</v>
      </c>
      <c r="J758" s="13" t="n">
        <v>76</v>
      </c>
      <c r="K758" s="13" t="s">
        <v>1476</v>
      </c>
      <c r="L758" s="13" t="s">
        <v>1443</v>
      </c>
      <c r="M758" s="13"/>
    </row>
    <row r="759" customFormat="false" ht="15" hidden="false" customHeight="false" outlineLevel="0" collapsed="false">
      <c r="A759" s="13" t="s">
        <v>595</v>
      </c>
      <c r="B759" s="13" t="s">
        <v>594</v>
      </c>
      <c r="C759" s="13" t="s">
        <v>1444</v>
      </c>
      <c r="D759" s="13" t="s">
        <v>1469</v>
      </c>
      <c r="E759" s="13" t="s">
        <v>1487</v>
      </c>
      <c r="F759" s="13" t="s">
        <v>1495</v>
      </c>
      <c r="G759" s="61" t="n">
        <v>536612723</v>
      </c>
      <c r="H759" s="13" t="s">
        <v>1435</v>
      </c>
      <c r="I759" s="13" t="s">
        <v>1489</v>
      </c>
      <c r="J759" s="13" t="n">
        <v>67</v>
      </c>
      <c r="K759" s="13" t="s">
        <v>1474</v>
      </c>
      <c r="L759" s="13" t="s">
        <v>1443</v>
      </c>
      <c r="M759" s="13"/>
    </row>
    <row r="760" customFormat="false" ht="15" hidden="false" customHeight="false" outlineLevel="0" collapsed="false">
      <c r="A760" s="13" t="s">
        <v>595</v>
      </c>
      <c r="B760" s="13" t="s">
        <v>594</v>
      </c>
      <c r="C760" s="13" t="s">
        <v>1446</v>
      </c>
      <c r="D760" s="13" t="s">
        <v>1469</v>
      </c>
      <c r="E760" s="13" t="s">
        <v>1487</v>
      </c>
      <c r="F760" s="13" t="s">
        <v>1495</v>
      </c>
      <c r="G760" s="61" t="n">
        <v>2178991329</v>
      </c>
      <c r="H760" s="13" t="s">
        <v>1435</v>
      </c>
      <c r="I760" s="13" t="s">
        <v>1489</v>
      </c>
      <c r="J760" s="13" t="n">
        <v>65</v>
      </c>
      <c r="K760" s="13" t="s">
        <v>1475</v>
      </c>
      <c r="L760" s="13" t="s">
        <v>1443</v>
      </c>
      <c r="M760" s="13"/>
    </row>
    <row r="761" customFormat="false" ht="15" hidden="false" customHeight="false" outlineLevel="0" collapsed="false">
      <c r="A761" s="13" t="s">
        <v>595</v>
      </c>
      <c r="B761" s="13" t="s">
        <v>594</v>
      </c>
      <c r="C761" s="13" t="s">
        <v>1448</v>
      </c>
      <c r="D761" s="13" t="s">
        <v>1469</v>
      </c>
      <c r="E761" s="13" t="s">
        <v>1487</v>
      </c>
      <c r="F761" s="13" t="s">
        <v>1495</v>
      </c>
      <c r="G761" s="61" t="n">
        <v>2516415662</v>
      </c>
      <c r="H761" s="13" t="s">
        <v>1435</v>
      </c>
      <c r="I761" s="13" t="s">
        <v>1489</v>
      </c>
      <c r="J761" s="13" t="n">
        <v>76</v>
      </c>
      <c r="K761" s="13" t="s">
        <v>1476</v>
      </c>
      <c r="L761" s="13" t="s">
        <v>1443</v>
      </c>
      <c r="M761" s="13"/>
    </row>
    <row r="762" customFormat="false" ht="15" hidden="false" customHeight="false" outlineLevel="0" collapsed="false">
      <c r="A762" s="13" t="s">
        <v>595</v>
      </c>
      <c r="B762" s="13" t="s">
        <v>594</v>
      </c>
      <c r="C762" s="13" t="s">
        <v>1439</v>
      </c>
      <c r="D762" s="13" t="s">
        <v>1469</v>
      </c>
      <c r="E762" s="13" t="s">
        <v>1487</v>
      </c>
      <c r="F762" s="13" t="s">
        <v>1486</v>
      </c>
      <c r="G762" s="61" t="n">
        <v>145000436678</v>
      </c>
      <c r="H762" s="13" t="s">
        <v>1435</v>
      </c>
      <c r="I762" s="13" t="s">
        <v>1489</v>
      </c>
      <c r="J762" s="13" t="n">
        <v>76</v>
      </c>
      <c r="K762" s="13" t="s">
        <v>1473</v>
      </c>
      <c r="L762" s="13" t="s">
        <v>1438</v>
      </c>
      <c r="M762" s="13"/>
    </row>
    <row r="763" customFormat="false" ht="15" hidden="false" customHeight="false" outlineLevel="0" collapsed="false">
      <c r="A763" s="13" t="s">
        <v>595</v>
      </c>
      <c r="B763" s="13" t="s">
        <v>594</v>
      </c>
      <c r="C763" s="13" t="s">
        <v>1442</v>
      </c>
      <c r="D763" s="13" t="s">
        <v>1469</v>
      </c>
      <c r="E763" s="13" t="s">
        <v>1487</v>
      </c>
      <c r="F763" s="13" t="s">
        <v>1486</v>
      </c>
      <c r="G763" s="61" t="n">
        <v>137738459043</v>
      </c>
      <c r="H763" s="13" t="s">
        <v>1435</v>
      </c>
      <c r="I763" s="13" t="s">
        <v>1489</v>
      </c>
      <c r="J763" s="13" t="n">
        <v>76</v>
      </c>
      <c r="K763" s="13" t="s">
        <v>1473</v>
      </c>
      <c r="L763" s="13" t="s">
        <v>1443</v>
      </c>
      <c r="M763" s="13"/>
    </row>
    <row r="764" customFormat="false" ht="15" hidden="false" customHeight="false" outlineLevel="0" collapsed="false">
      <c r="A764" s="13" t="s">
        <v>595</v>
      </c>
      <c r="B764" s="13" t="s">
        <v>594</v>
      </c>
      <c r="C764" s="13" t="s">
        <v>1444</v>
      </c>
      <c r="D764" s="13" t="s">
        <v>1469</v>
      </c>
      <c r="E764" s="13" t="s">
        <v>1487</v>
      </c>
      <c r="F764" s="13" t="s">
        <v>1486</v>
      </c>
      <c r="G764" s="61" t="n">
        <v>153026530241</v>
      </c>
      <c r="H764" s="13" t="s">
        <v>1435</v>
      </c>
      <c r="I764" s="13" t="s">
        <v>1489</v>
      </c>
      <c r="J764" s="13" t="n">
        <v>67</v>
      </c>
      <c r="K764" s="13" t="s">
        <v>1474</v>
      </c>
      <c r="L764" s="13" t="s">
        <v>1443</v>
      </c>
      <c r="M764" s="13"/>
    </row>
    <row r="765" customFormat="false" ht="15" hidden="false" customHeight="false" outlineLevel="0" collapsed="false">
      <c r="A765" s="13" t="s">
        <v>595</v>
      </c>
      <c r="B765" s="13" t="s">
        <v>594</v>
      </c>
      <c r="C765" s="13" t="s">
        <v>1446</v>
      </c>
      <c r="D765" s="13" t="s">
        <v>1469</v>
      </c>
      <c r="E765" s="13" t="s">
        <v>1487</v>
      </c>
      <c r="F765" s="13" t="s">
        <v>1486</v>
      </c>
      <c r="G765" s="61" t="n">
        <v>214434696643</v>
      </c>
      <c r="H765" s="13" t="s">
        <v>1435</v>
      </c>
      <c r="I765" s="13" t="s">
        <v>1489</v>
      </c>
      <c r="J765" s="13" t="n">
        <v>65</v>
      </c>
      <c r="K765" s="13" t="s">
        <v>1475</v>
      </c>
      <c r="L765" s="13" t="s">
        <v>1443</v>
      </c>
      <c r="M765" s="13"/>
    </row>
    <row r="766" customFormat="false" ht="15" hidden="false" customHeight="false" outlineLevel="0" collapsed="false">
      <c r="A766" s="13" t="s">
        <v>595</v>
      </c>
      <c r="B766" s="13" t="s">
        <v>594</v>
      </c>
      <c r="C766" s="13" t="s">
        <v>1448</v>
      </c>
      <c r="D766" s="13" t="s">
        <v>1469</v>
      </c>
      <c r="E766" s="13" t="s">
        <v>1487</v>
      </c>
      <c r="F766" s="13" t="s">
        <v>1486</v>
      </c>
      <c r="G766" s="61" t="n">
        <v>224594016289</v>
      </c>
      <c r="H766" s="13" t="s">
        <v>1435</v>
      </c>
      <c r="I766" s="13" t="s">
        <v>1489</v>
      </c>
      <c r="J766" s="13" t="n">
        <v>76</v>
      </c>
      <c r="K766" s="13" t="s">
        <v>1476</v>
      </c>
      <c r="L766" s="13" t="s">
        <v>1443</v>
      </c>
      <c r="M766" s="13"/>
    </row>
    <row r="767" customFormat="false" ht="15" hidden="false" customHeight="false" outlineLevel="0" collapsed="false">
      <c r="A767" s="13" t="s">
        <v>595</v>
      </c>
      <c r="B767" s="13" t="s">
        <v>594</v>
      </c>
      <c r="C767" s="13" t="s">
        <v>1439</v>
      </c>
      <c r="D767" s="13" t="s">
        <v>1469</v>
      </c>
      <c r="E767" s="13" t="s">
        <v>1496</v>
      </c>
      <c r="F767" s="13" t="s">
        <v>1497</v>
      </c>
      <c r="G767" s="61" t="n">
        <v>85818306730</v>
      </c>
      <c r="H767" s="13" t="s">
        <v>1435</v>
      </c>
      <c r="I767" s="13" t="s">
        <v>1498</v>
      </c>
      <c r="J767" s="13" t="n">
        <v>77</v>
      </c>
      <c r="K767" s="13" t="s">
        <v>1473</v>
      </c>
      <c r="L767" s="13" t="s">
        <v>1438</v>
      </c>
      <c r="M767" s="13"/>
    </row>
    <row r="768" customFormat="false" ht="15" hidden="false" customHeight="false" outlineLevel="0" collapsed="false">
      <c r="A768" s="13" t="s">
        <v>595</v>
      </c>
      <c r="B768" s="13" t="s">
        <v>594</v>
      </c>
      <c r="C768" s="13" t="s">
        <v>1442</v>
      </c>
      <c r="D768" s="13" t="s">
        <v>1469</v>
      </c>
      <c r="E768" s="13" t="s">
        <v>1496</v>
      </c>
      <c r="F768" s="13" t="s">
        <v>1497</v>
      </c>
      <c r="G768" s="61" t="n">
        <v>99952397980</v>
      </c>
      <c r="H768" s="13" t="s">
        <v>1435</v>
      </c>
      <c r="I768" s="13" t="s">
        <v>1498</v>
      </c>
      <c r="J768" s="13" t="n">
        <v>77</v>
      </c>
      <c r="K768" s="13" t="s">
        <v>1473</v>
      </c>
      <c r="L768" s="13" t="s">
        <v>1443</v>
      </c>
      <c r="M768" s="13"/>
    </row>
    <row r="769" customFormat="false" ht="15" hidden="false" customHeight="false" outlineLevel="0" collapsed="false">
      <c r="A769" s="13" t="s">
        <v>595</v>
      </c>
      <c r="B769" s="13" t="s">
        <v>594</v>
      </c>
      <c r="C769" s="13" t="s">
        <v>1444</v>
      </c>
      <c r="D769" s="13" t="s">
        <v>1469</v>
      </c>
      <c r="E769" s="13" t="s">
        <v>1496</v>
      </c>
      <c r="F769" s="13" t="s">
        <v>1497</v>
      </c>
      <c r="G769" s="61" t="n">
        <v>81959240386</v>
      </c>
      <c r="H769" s="13" t="s">
        <v>1435</v>
      </c>
      <c r="I769" s="13" t="s">
        <v>1498</v>
      </c>
      <c r="J769" s="13" t="n">
        <v>68</v>
      </c>
      <c r="K769" s="13" t="s">
        <v>1474</v>
      </c>
      <c r="L769" s="13" t="s">
        <v>1443</v>
      </c>
      <c r="M769" s="13"/>
    </row>
    <row r="770" customFormat="false" ht="15" hidden="false" customHeight="false" outlineLevel="0" collapsed="false">
      <c r="A770" s="13" t="s">
        <v>595</v>
      </c>
      <c r="B770" s="13" t="s">
        <v>594</v>
      </c>
      <c r="C770" s="13" t="s">
        <v>1446</v>
      </c>
      <c r="D770" s="13" t="s">
        <v>1469</v>
      </c>
      <c r="E770" s="13" t="s">
        <v>1496</v>
      </c>
      <c r="F770" s="13" t="s">
        <v>1497</v>
      </c>
      <c r="G770" s="61" t="n">
        <v>85978960899</v>
      </c>
      <c r="H770" s="13" t="s">
        <v>1435</v>
      </c>
      <c r="I770" s="13" t="s">
        <v>1498</v>
      </c>
      <c r="J770" s="13" t="n">
        <v>66</v>
      </c>
      <c r="K770" s="13" t="s">
        <v>1475</v>
      </c>
      <c r="L770" s="13" t="s">
        <v>1443</v>
      </c>
      <c r="M770" s="13"/>
    </row>
    <row r="771" customFormat="false" ht="15" hidden="false" customHeight="false" outlineLevel="0" collapsed="false">
      <c r="A771" s="13" t="s">
        <v>595</v>
      </c>
      <c r="B771" s="13" t="s">
        <v>594</v>
      </c>
      <c r="C771" s="13" t="s">
        <v>1448</v>
      </c>
      <c r="D771" s="13" t="s">
        <v>1469</v>
      </c>
      <c r="E771" s="13" t="s">
        <v>1496</v>
      </c>
      <c r="F771" s="13" t="s">
        <v>1497</v>
      </c>
      <c r="G771" s="61" t="n">
        <v>92658718016</v>
      </c>
      <c r="H771" s="13" t="s">
        <v>1435</v>
      </c>
      <c r="I771" s="13" t="s">
        <v>1498</v>
      </c>
      <c r="J771" s="13" t="n">
        <v>77</v>
      </c>
      <c r="K771" s="13" t="s">
        <v>1476</v>
      </c>
      <c r="L771" s="13" t="s">
        <v>1443</v>
      </c>
      <c r="M771" s="13"/>
    </row>
    <row r="772" customFormat="false" ht="15" hidden="false" customHeight="false" outlineLevel="0" collapsed="false">
      <c r="A772" s="13" t="s">
        <v>595</v>
      </c>
      <c r="B772" s="13" t="s">
        <v>594</v>
      </c>
      <c r="C772" s="13" t="s">
        <v>1439</v>
      </c>
      <c r="D772" s="13" t="s">
        <v>1469</v>
      </c>
      <c r="E772" s="13" t="s">
        <v>1496</v>
      </c>
      <c r="F772" s="13" t="s">
        <v>1499</v>
      </c>
      <c r="G772" s="61" t="n">
        <v>9763891570</v>
      </c>
      <c r="H772" s="13" t="s">
        <v>1435</v>
      </c>
      <c r="I772" s="13" t="s">
        <v>1498</v>
      </c>
      <c r="J772" s="13" t="n">
        <v>77</v>
      </c>
      <c r="K772" s="13" t="s">
        <v>1473</v>
      </c>
      <c r="L772" s="13" t="s">
        <v>1438</v>
      </c>
      <c r="M772" s="13"/>
    </row>
    <row r="773" customFormat="false" ht="15" hidden="false" customHeight="false" outlineLevel="0" collapsed="false">
      <c r="A773" s="13" t="s">
        <v>595</v>
      </c>
      <c r="B773" s="13" t="s">
        <v>594</v>
      </c>
      <c r="C773" s="13" t="s">
        <v>1442</v>
      </c>
      <c r="D773" s="13" t="s">
        <v>1469</v>
      </c>
      <c r="E773" s="13" t="s">
        <v>1496</v>
      </c>
      <c r="F773" s="13" t="s">
        <v>1499</v>
      </c>
      <c r="G773" s="61" t="n">
        <v>11421360978</v>
      </c>
      <c r="H773" s="13" t="s">
        <v>1435</v>
      </c>
      <c r="I773" s="13" t="s">
        <v>1498</v>
      </c>
      <c r="J773" s="13" t="n">
        <v>77</v>
      </c>
      <c r="K773" s="13" t="s">
        <v>1473</v>
      </c>
      <c r="L773" s="13" t="s">
        <v>1443</v>
      </c>
      <c r="M773" s="13"/>
    </row>
    <row r="774" customFormat="false" ht="15" hidden="false" customHeight="false" outlineLevel="0" collapsed="false">
      <c r="A774" s="13" t="s">
        <v>595</v>
      </c>
      <c r="B774" s="13" t="s">
        <v>594</v>
      </c>
      <c r="C774" s="13" t="s">
        <v>1444</v>
      </c>
      <c r="D774" s="13" t="s">
        <v>1469</v>
      </c>
      <c r="E774" s="13" t="s">
        <v>1496</v>
      </c>
      <c r="F774" s="13" t="s">
        <v>1499</v>
      </c>
      <c r="G774" s="61" t="n">
        <v>8370960501</v>
      </c>
      <c r="H774" s="13" t="s">
        <v>1435</v>
      </c>
      <c r="I774" s="13" t="s">
        <v>1498</v>
      </c>
      <c r="J774" s="13" t="n">
        <v>68</v>
      </c>
      <c r="K774" s="13" t="s">
        <v>1474</v>
      </c>
      <c r="L774" s="13" t="s">
        <v>1443</v>
      </c>
      <c r="M774" s="13"/>
    </row>
    <row r="775" customFormat="false" ht="15" hidden="false" customHeight="false" outlineLevel="0" collapsed="false">
      <c r="A775" s="13" t="s">
        <v>595</v>
      </c>
      <c r="B775" s="13" t="s">
        <v>594</v>
      </c>
      <c r="C775" s="13" t="s">
        <v>1446</v>
      </c>
      <c r="D775" s="13" t="s">
        <v>1469</v>
      </c>
      <c r="E775" s="13" t="s">
        <v>1496</v>
      </c>
      <c r="F775" s="13" t="s">
        <v>1499</v>
      </c>
      <c r="G775" s="61" t="n">
        <v>9558630021</v>
      </c>
      <c r="H775" s="13" t="s">
        <v>1435</v>
      </c>
      <c r="I775" s="13" t="s">
        <v>1498</v>
      </c>
      <c r="J775" s="13" t="n">
        <v>66</v>
      </c>
      <c r="K775" s="13" t="s">
        <v>1475</v>
      </c>
      <c r="L775" s="13" t="s">
        <v>1443</v>
      </c>
      <c r="M775" s="13"/>
    </row>
    <row r="776" customFormat="false" ht="15" hidden="false" customHeight="false" outlineLevel="0" collapsed="false">
      <c r="A776" s="13" t="s">
        <v>595</v>
      </c>
      <c r="B776" s="13" t="s">
        <v>594</v>
      </c>
      <c r="C776" s="13" t="s">
        <v>1448</v>
      </c>
      <c r="D776" s="13" t="s">
        <v>1469</v>
      </c>
      <c r="E776" s="13" t="s">
        <v>1496</v>
      </c>
      <c r="F776" s="13" t="s">
        <v>1499</v>
      </c>
      <c r="G776" s="61" t="n">
        <v>10208488621</v>
      </c>
      <c r="H776" s="13" t="s">
        <v>1435</v>
      </c>
      <c r="I776" s="13" t="s">
        <v>1498</v>
      </c>
      <c r="J776" s="13" t="n">
        <v>77</v>
      </c>
      <c r="K776" s="13" t="s">
        <v>1476</v>
      </c>
      <c r="L776" s="13" t="s">
        <v>1443</v>
      </c>
      <c r="M776" s="13"/>
    </row>
    <row r="777" customFormat="false" ht="15" hidden="false" customHeight="false" outlineLevel="0" collapsed="false">
      <c r="A777" s="13" t="s">
        <v>595</v>
      </c>
      <c r="B777" s="13" t="s">
        <v>594</v>
      </c>
      <c r="C777" s="13" t="s">
        <v>1439</v>
      </c>
      <c r="D777" s="13" t="s">
        <v>1469</v>
      </c>
      <c r="E777" s="13" t="s">
        <v>1496</v>
      </c>
      <c r="F777" s="13" t="s">
        <v>1500</v>
      </c>
      <c r="G777" s="61" t="n">
        <v>5942785615</v>
      </c>
      <c r="H777" s="13" t="s">
        <v>1435</v>
      </c>
      <c r="I777" s="13" t="s">
        <v>1498</v>
      </c>
      <c r="J777" s="13" t="n">
        <v>77</v>
      </c>
      <c r="K777" s="13" t="s">
        <v>1473</v>
      </c>
      <c r="L777" s="13" t="s">
        <v>1438</v>
      </c>
      <c r="M777" s="13"/>
    </row>
    <row r="778" customFormat="false" ht="15" hidden="false" customHeight="false" outlineLevel="0" collapsed="false">
      <c r="A778" s="13" t="s">
        <v>595</v>
      </c>
      <c r="B778" s="13" t="s">
        <v>594</v>
      </c>
      <c r="C778" s="13" t="s">
        <v>1442</v>
      </c>
      <c r="D778" s="13" t="s">
        <v>1469</v>
      </c>
      <c r="E778" s="13" t="s">
        <v>1496</v>
      </c>
      <c r="F778" s="13" t="s">
        <v>1500</v>
      </c>
      <c r="G778" s="61" t="n">
        <v>6025579971</v>
      </c>
      <c r="H778" s="13" t="s">
        <v>1435</v>
      </c>
      <c r="I778" s="13" t="s">
        <v>1498</v>
      </c>
      <c r="J778" s="13" t="n">
        <v>77</v>
      </c>
      <c r="K778" s="13" t="s">
        <v>1473</v>
      </c>
      <c r="L778" s="13" t="s">
        <v>1443</v>
      </c>
      <c r="M778" s="13"/>
    </row>
    <row r="779" customFormat="false" ht="15" hidden="false" customHeight="false" outlineLevel="0" collapsed="false">
      <c r="A779" s="13" t="s">
        <v>595</v>
      </c>
      <c r="B779" s="13" t="s">
        <v>594</v>
      </c>
      <c r="C779" s="13" t="s">
        <v>1444</v>
      </c>
      <c r="D779" s="13" t="s">
        <v>1469</v>
      </c>
      <c r="E779" s="13" t="s">
        <v>1496</v>
      </c>
      <c r="F779" s="13" t="s">
        <v>1500</v>
      </c>
      <c r="G779" s="61" t="n">
        <v>6553903145</v>
      </c>
      <c r="H779" s="13" t="s">
        <v>1435</v>
      </c>
      <c r="I779" s="13" t="s">
        <v>1498</v>
      </c>
      <c r="J779" s="13" t="n">
        <v>68</v>
      </c>
      <c r="K779" s="13" t="s">
        <v>1474</v>
      </c>
      <c r="L779" s="13" t="s">
        <v>1443</v>
      </c>
      <c r="M779" s="13"/>
    </row>
    <row r="780" customFormat="false" ht="15" hidden="false" customHeight="false" outlineLevel="0" collapsed="false">
      <c r="A780" s="13" t="s">
        <v>595</v>
      </c>
      <c r="B780" s="13" t="s">
        <v>594</v>
      </c>
      <c r="C780" s="13" t="s">
        <v>1446</v>
      </c>
      <c r="D780" s="13" t="s">
        <v>1469</v>
      </c>
      <c r="E780" s="13" t="s">
        <v>1496</v>
      </c>
      <c r="F780" s="13" t="s">
        <v>1500</v>
      </c>
      <c r="G780" s="61" t="n">
        <v>5145841539</v>
      </c>
      <c r="H780" s="13" t="s">
        <v>1435</v>
      </c>
      <c r="I780" s="13" t="s">
        <v>1498</v>
      </c>
      <c r="J780" s="13" t="n">
        <v>66</v>
      </c>
      <c r="K780" s="13" t="s">
        <v>1475</v>
      </c>
      <c r="L780" s="13" t="s">
        <v>1443</v>
      </c>
      <c r="M780" s="13"/>
    </row>
    <row r="781" customFormat="false" ht="15" hidden="false" customHeight="false" outlineLevel="0" collapsed="false">
      <c r="A781" s="13" t="s">
        <v>595</v>
      </c>
      <c r="B781" s="13" t="s">
        <v>594</v>
      </c>
      <c r="C781" s="13" t="s">
        <v>1448</v>
      </c>
      <c r="D781" s="13" t="s">
        <v>1469</v>
      </c>
      <c r="E781" s="13" t="s">
        <v>1496</v>
      </c>
      <c r="F781" s="13" t="s">
        <v>1500</v>
      </c>
      <c r="G781" s="61" t="n">
        <v>8684458803</v>
      </c>
      <c r="H781" s="13" t="s">
        <v>1435</v>
      </c>
      <c r="I781" s="13" t="s">
        <v>1498</v>
      </c>
      <c r="J781" s="13" t="n">
        <v>77</v>
      </c>
      <c r="K781" s="13" t="s">
        <v>1476</v>
      </c>
      <c r="L781" s="13" t="s">
        <v>1443</v>
      </c>
      <c r="M781" s="13"/>
    </row>
    <row r="782" customFormat="false" ht="15" hidden="false" customHeight="false" outlineLevel="0" collapsed="false">
      <c r="A782" s="13" t="s">
        <v>595</v>
      </c>
      <c r="B782" s="13" t="s">
        <v>594</v>
      </c>
      <c r="C782" s="13" t="s">
        <v>1439</v>
      </c>
      <c r="D782" s="13" t="s">
        <v>1469</v>
      </c>
      <c r="E782" s="13" t="s">
        <v>1496</v>
      </c>
      <c r="F782" s="13" t="s">
        <v>1501</v>
      </c>
      <c r="G782" s="61" t="n">
        <v>4507042360</v>
      </c>
      <c r="H782" s="13" t="s">
        <v>1435</v>
      </c>
      <c r="I782" s="13" t="s">
        <v>1498</v>
      </c>
      <c r="J782" s="13" t="n">
        <v>77</v>
      </c>
      <c r="K782" s="13" t="s">
        <v>1473</v>
      </c>
      <c r="L782" s="13" t="s">
        <v>1438</v>
      </c>
      <c r="M782" s="13"/>
    </row>
    <row r="783" customFormat="false" ht="15" hidden="false" customHeight="false" outlineLevel="0" collapsed="false">
      <c r="A783" s="13" t="s">
        <v>595</v>
      </c>
      <c r="B783" s="13" t="s">
        <v>594</v>
      </c>
      <c r="C783" s="13" t="s">
        <v>1442</v>
      </c>
      <c r="D783" s="13" t="s">
        <v>1469</v>
      </c>
      <c r="E783" s="13" t="s">
        <v>1496</v>
      </c>
      <c r="F783" s="13" t="s">
        <v>1501</v>
      </c>
      <c r="G783" s="61" t="n">
        <v>6162518826</v>
      </c>
      <c r="H783" s="13" t="s">
        <v>1435</v>
      </c>
      <c r="I783" s="13" t="s">
        <v>1498</v>
      </c>
      <c r="J783" s="13" t="n">
        <v>77</v>
      </c>
      <c r="K783" s="13" t="s">
        <v>1473</v>
      </c>
      <c r="L783" s="13" t="s">
        <v>1443</v>
      </c>
      <c r="M783" s="13"/>
    </row>
    <row r="784" customFormat="false" ht="15" hidden="false" customHeight="false" outlineLevel="0" collapsed="false">
      <c r="A784" s="13" t="s">
        <v>595</v>
      </c>
      <c r="B784" s="13" t="s">
        <v>594</v>
      </c>
      <c r="C784" s="13" t="s">
        <v>1444</v>
      </c>
      <c r="D784" s="13" t="s">
        <v>1469</v>
      </c>
      <c r="E784" s="13" t="s">
        <v>1496</v>
      </c>
      <c r="F784" s="13" t="s">
        <v>1501</v>
      </c>
      <c r="G784" s="61" t="n">
        <v>5197077888</v>
      </c>
      <c r="H784" s="13" t="s">
        <v>1435</v>
      </c>
      <c r="I784" s="13" t="s">
        <v>1498</v>
      </c>
      <c r="J784" s="13" t="n">
        <v>68</v>
      </c>
      <c r="K784" s="13" t="s">
        <v>1474</v>
      </c>
      <c r="L784" s="13" t="s">
        <v>1443</v>
      </c>
      <c r="M784" s="13"/>
    </row>
    <row r="785" customFormat="false" ht="15" hidden="false" customHeight="false" outlineLevel="0" collapsed="false">
      <c r="A785" s="13" t="s">
        <v>595</v>
      </c>
      <c r="B785" s="13" t="s">
        <v>594</v>
      </c>
      <c r="C785" s="13" t="s">
        <v>1446</v>
      </c>
      <c r="D785" s="13" t="s">
        <v>1469</v>
      </c>
      <c r="E785" s="13" t="s">
        <v>1496</v>
      </c>
      <c r="F785" s="13" t="s">
        <v>1501</v>
      </c>
      <c r="G785" s="61" t="n">
        <v>6317435530</v>
      </c>
      <c r="H785" s="13" t="s">
        <v>1435</v>
      </c>
      <c r="I785" s="13" t="s">
        <v>1498</v>
      </c>
      <c r="J785" s="13" t="n">
        <v>66</v>
      </c>
      <c r="K785" s="13" t="s">
        <v>1475</v>
      </c>
      <c r="L785" s="13" t="s">
        <v>1443</v>
      </c>
      <c r="M785" s="13"/>
    </row>
    <row r="786" customFormat="false" ht="15" hidden="false" customHeight="false" outlineLevel="0" collapsed="false">
      <c r="A786" s="13" t="s">
        <v>595</v>
      </c>
      <c r="B786" s="13" t="s">
        <v>594</v>
      </c>
      <c r="C786" s="13" t="s">
        <v>1448</v>
      </c>
      <c r="D786" s="13" t="s">
        <v>1469</v>
      </c>
      <c r="E786" s="13" t="s">
        <v>1496</v>
      </c>
      <c r="F786" s="13" t="s">
        <v>1501</v>
      </c>
      <c r="G786" s="61" t="n">
        <v>6877384908</v>
      </c>
      <c r="H786" s="13" t="s">
        <v>1435</v>
      </c>
      <c r="I786" s="13" t="s">
        <v>1498</v>
      </c>
      <c r="J786" s="13" t="n">
        <v>77</v>
      </c>
      <c r="K786" s="13" t="s">
        <v>1476</v>
      </c>
      <c r="L786" s="13" t="s">
        <v>1443</v>
      </c>
      <c r="M786" s="13"/>
    </row>
    <row r="787" customFormat="false" ht="15" hidden="false" customHeight="false" outlineLevel="0" collapsed="false">
      <c r="A787" s="13" t="s">
        <v>595</v>
      </c>
      <c r="B787" s="13" t="s">
        <v>594</v>
      </c>
      <c r="C787" s="13" t="s">
        <v>1439</v>
      </c>
      <c r="D787" s="13" t="s">
        <v>1469</v>
      </c>
      <c r="E787" s="13" t="s">
        <v>1496</v>
      </c>
      <c r="F787" s="13" t="s">
        <v>1502</v>
      </c>
      <c r="G787" s="61" t="n">
        <v>4369026112</v>
      </c>
      <c r="H787" s="13" t="s">
        <v>1435</v>
      </c>
      <c r="I787" s="13" t="s">
        <v>1498</v>
      </c>
      <c r="J787" s="13" t="n">
        <v>77</v>
      </c>
      <c r="K787" s="13" t="s">
        <v>1473</v>
      </c>
      <c r="L787" s="13" t="s">
        <v>1438</v>
      </c>
      <c r="M787" s="13"/>
    </row>
    <row r="788" customFormat="false" ht="15" hidden="false" customHeight="false" outlineLevel="0" collapsed="false">
      <c r="A788" s="13" t="s">
        <v>595</v>
      </c>
      <c r="B788" s="13" t="s">
        <v>594</v>
      </c>
      <c r="C788" s="13" t="s">
        <v>1442</v>
      </c>
      <c r="D788" s="13" t="s">
        <v>1469</v>
      </c>
      <c r="E788" s="13" t="s">
        <v>1496</v>
      </c>
      <c r="F788" s="13" t="s">
        <v>1502</v>
      </c>
      <c r="G788" s="61" t="n">
        <v>6484828864</v>
      </c>
      <c r="H788" s="13" t="s">
        <v>1435</v>
      </c>
      <c r="I788" s="13" t="s">
        <v>1498</v>
      </c>
      <c r="J788" s="13" t="n">
        <v>77</v>
      </c>
      <c r="K788" s="13" t="s">
        <v>1473</v>
      </c>
      <c r="L788" s="13" t="s">
        <v>1443</v>
      </c>
      <c r="M788" s="13"/>
    </row>
    <row r="789" customFormat="false" ht="15" hidden="false" customHeight="false" outlineLevel="0" collapsed="false">
      <c r="A789" s="13" t="s">
        <v>595</v>
      </c>
      <c r="B789" s="13" t="s">
        <v>594</v>
      </c>
      <c r="C789" s="13" t="s">
        <v>1444</v>
      </c>
      <c r="D789" s="13" t="s">
        <v>1469</v>
      </c>
      <c r="E789" s="13" t="s">
        <v>1496</v>
      </c>
      <c r="F789" s="13" t="s">
        <v>1502</v>
      </c>
      <c r="G789" s="61" t="n">
        <v>4278404472</v>
      </c>
      <c r="H789" s="13" t="s">
        <v>1435</v>
      </c>
      <c r="I789" s="13" t="s">
        <v>1498</v>
      </c>
      <c r="J789" s="13" t="n">
        <v>68</v>
      </c>
      <c r="K789" s="13" t="s">
        <v>1474</v>
      </c>
      <c r="L789" s="13" t="s">
        <v>1443</v>
      </c>
      <c r="M789" s="13"/>
    </row>
    <row r="790" customFormat="false" ht="15" hidden="false" customHeight="false" outlineLevel="0" collapsed="false">
      <c r="A790" s="13" t="s">
        <v>595</v>
      </c>
      <c r="B790" s="13" t="s">
        <v>594</v>
      </c>
      <c r="C790" s="13" t="s">
        <v>1446</v>
      </c>
      <c r="D790" s="13" t="s">
        <v>1469</v>
      </c>
      <c r="E790" s="13" t="s">
        <v>1496</v>
      </c>
      <c r="F790" s="13" t="s">
        <v>1502</v>
      </c>
      <c r="G790" s="61" t="n">
        <v>5623125960</v>
      </c>
      <c r="H790" s="13" t="s">
        <v>1435</v>
      </c>
      <c r="I790" s="13" t="s">
        <v>1498</v>
      </c>
      <c r="J790" s="13" t="n">
        <v>66</v>
      </c>
      <c r="K790" s="13" t="s">
        <v>1475</v>
      </c>
      <c r="L790" s="13" t="s">
        <v>1443</v>
      </c>
      <c r="M790" s="13"/>
    </row>
    <row r="791" customFormat="false" ht="15" hidden="false" customHeight="false" outlineLevel="0" collapsed="false">
      <c r="A791" s="13" t="s">
        <v>595</v>
      </c>
      <c r="B791" s="13" t="s">
        <v>594</v>
      </c>
      <c r="C791" s="13" t="s">
        <v>1448</v>
      </c>
      <c r="D791" s="13" t="s">
        <v>1469</v>
      </c>
      <c r="E791" s="13" t="s">
        <v>1496</v>
      </c>
      <c r="F791" s="13" t="s">
        <v>1502</v>
      </c>
      <c r="G791" s="61" t="n">
        <v>5498673319</v>
      </c>
      <c r="H791" s="13" t="s">
        <v>1435</v>
      </c>
      <c r="I791" s="13" t="s">
        <v>1498</v>
      </c>
      <c r="J791" s="13" t="n">
        <v>77</v>
      </c>
      <c r="K791" s="13" t="s">
        <v>1476</v>
      </c>
      <c r="L791" s="13" t="s">
        <v>1443</v>
      </c>
      <c r="M791" s="13"/>
    </row>
    <row r="792" customFormat="false" ht="15" hidden="false" customHeight="false" outlineLevel="0" collapsed="false">
      <c r="A792" s="13" t="s">
        <v>595</v>
      </c>
      <c r="B792" s="13" t="s">
        <v>594</v>
      </c>
      <c r="C792" s="13" t="s">
        <v>1446</v>
      </c>
      <c r="D792" s="13" t="s">
        <v>1469</v>
      </c>
      <c r="E792" s="13" t="s">
        <v>1496</v>
      </c>
      <c r="F792" s="13" t="s">
        <v>1503</v>
      </c>
      <c r="G792" s="61" t="n">
        <v>5338785775</v>
      </c>
      <c r="H792" s="13" t="s">
        <v>1435</v>
      </c>
      <c r="I792" s="13" t="s">
        <v>1498</v>
      </c>
      <c r="J792" s="13" t="n">
        <v>66</v>
      </c>
      <c r="K792" s="13" t="s">
        <v>1475</v>
      </c>
      <c r="L792" s="13" t="s">
        <v>1443</v>
      </c>
      <c r="M792" s="13"/>
    </row>
    <row r="793" customFormat="false" ht="15" hidden="false" customHeight="false" outlineLevel="0" collapsed="false">
      <c r="A793" s="13" t="s">
        <v>595</v>
      </c>
      <c r="B793" s="13" t="s">
        <v>594</v>
      </c>
      <c r="C793" s="13" t="s">
        <v>1448</v>
      </c>
      <c r="D793" s="13" t="s">
        <v>1469</v>
      </c>
      <c r="E793" s="13" t="s">
        <v>1496</v>
      </c>
      <c r="F793" s="13" t="s">
        <v>1503</v>
      </c>
      <c r="G793" s="61" t="n">
        <v>5216750945</v>
      </c>
      <c r="H793" s="13" t="s">
        <v>1435</v>
      </c>
      <c r="I793" s="13" t="s">
        <v>1498</v>
      </c>
      <c r="J793" s="13" t="n">
        <v>77</v>
      </c>
      <c r="K793" s="13" t="s">
        <v>1476</v>
      </c>
      <c r="L793" s="13" t="s">
        <v>1443</v>
      </c>
      <c r="M793" s="13"/>
    </row>
    <row r="794" customFormat="false" ht="15" hidden="false" customHeight="false" outlineLevel="0" collapsed="false">
      <c r="A794" s="13" t="s">
        <v>595</v>
      </c>
      <c r="B794" s="13" t="s">
        <v>594</v>
      </c>
      <c r="C794" s="13" t="s">
        <v>1439</v>
      </c>
      <c r="D794" s="13" t="s">
        <v>1469</v>
      </c>
      <c r="E794" s="13" t="s">
        <v>1496</v>
      </c>
      <c r="F794" s="13" t="s">
        <v>1504</v>
      </c>
      <c r="G794" s="61" t="n">
        <v>3926176298</v>
      </c>
      <c r="H794" s="13" t="s">
        <v>1435</v>
      </c>
      <c r="I794" s="13" t="s">
        <v>1498</v>
      </c>
      <c r="J794" s="13" t="n">
        <v>77</v>
      </c>
      <c r="K794" s="13" t="s">
        <v>1473</v>
      </c>
      <c r="L794" s="13" t="s">
        <v>1438</v>
      </c>
      <c r="M794" s="13"/>
    </row>
    <row r="795" customFormat="false" ht="15" hidden="false" customHeight="false" outlineLevel="0" collapsed="false">
      <c r="A795" s="13" t="s">
        <v>595</v>
      </c>
      <c r="B795" s="13" t="s">
        <v>594</v>
      </c>
      <c r="C795" s="13" t="s">
        <v>1442</v>
      </c>
      <c r="D795" s="13" t="s">
        <v>1469</v>
      </c>
      <c r="E795" s="13" t="s">
        <v>1496</v>
      </c>
      <c r="F795" s="13" t="s">
        <v>1504</v>
      </c>
      <c r="G795" s="61" t="n">
        <v>4669071950</v>
      </c>
      <c r="H795" s="13" t="s">
        <v>1435</v>
      </c>
      <c r="I795" s="13" t="s">
        <v>1498</v>
      </c>
      <c r="J795" s="13" t="n">
        <v>77</v>
      </c>
      <c r="K795" s="13" t="s">
        <v>1473</v>
      </c>
      <c r="L795" s="13" t="s">
        <v>1443</v>
      </c>
      <c r="M795" s="13"/>
    </row>
    <row r="796" customFormat="false" ht="15" hidden="false" customHeight="false" outlineLevel="0" collapsed="false">
      <c r="A796" s="13" t="s">
        <v>595</v>
      </c>
      <c r="B796" s="13" t="s">
        <v>594</v>
      </c>
      <c r="C796" s="13" t="s">
        <v>1444</v>
      </c>
      <c r="D796" s="13" t="s">
        <v>1469</v>
      </c>
      <c r="E796" s="13" t="s">
        <v>1496</v>
      </c>
      <c r="F796" s="13" t="s">
        <v>1504</v>
      </c>
      <c r="G796" s="61" t="n">
        <v>3758102796</v>
      </c>
      <c r="H796" s="13" t="s">
        <v>1435</v>
      </c>
      <c r="I796" s="13" t="s">
        <v>1498</v>
      </c>
      <c r="J796" s="13" t="n">
        <v>68</v>
      </c>
      <c r="K796" s="13" t="s">
        <v>1474</v>
      </c>
      <c r="L796" s="13" t="s">
        <v>1443</v>
      </c>
      <c r="M796" s="13"/>
    </row>
    <row r="797" customFormat="false" ht="15" hidden="false" customHeight="false" outlineLevel="0" collapsed="false">
      <c r="A797" s="13" t="s">
        <v>595</v>
      </c>
      <c r="B797" s="13" t="s">
        <v>594</v>
      </c>
      <c r="C797" s="13" t="s">
        <v>1446</v>
      </c>
      <c r="D797" s="13" t="s">
        <v>1469</v>
      </c>
      <c r="E797" s="13" t="s">
        <v>1496</v>
      </c>
      <c r="F797" s="13" t="s">
        <v>1504</v>
      </c>
      <c r="G797" s="61" t="n">
        <v>3933612468</v>
      </c>
      <c r="H797" s="13" t="s">
        <v>1435</v>
      </c>
      <c r="I797" s="13" t="s">
        <v>1498</v>
      </c>
      <c r="J797" s="13" t="n">
        <v>66</v>
      </c>
      <c r="K797" s="13" t="s">
        <v>1475</v>
      </c>
      <c r="L797" s="13" t="s">
        <v>1443</v>
      </c>
      <c r="M797" s="13"/>
    </row>
    <row r="798" customFormat="false" ht="15" hidden="false" customHeight="false" outlineLevel="0" collapsed="false">
      <c r="A798" s="13" t="s">
        <v>595</v>
      </c>
      <c r="B798" s="13" t="s">
        <v>594</v>
      </c>
      <c r="C798" s="13" t="s">
        <v>1448</v>
      </c>
      <c r="D798" s="13" t="s">
        <v>1469</v>
      </c>
      <c r="E798" s="13" t="s">
        <v>1496</v>
      </c>
      <c r="F798" s="13" t="s">
        <v>1504</v>
      </c>
      <c r="G798" s="61" t="n">
        <v>3453516677</v>
      </c>
      <c r="H798" s="13" t="s">
        <v>1435</v>
      </c>
      <c r="I798" s="13" t="s">
        <v>1498</v>
      </c>
      <c r="J798" s="13" t="n">
        <v>77</v>
      </c>
      <c r="K798" s="13" t="s">
        <v>1476</v>
      </c>
      <c r="L798" s="13" t="s">
        <v>1443</v>
      </c>
      <c r="M798" s="13"/>
    </row>
    <row r="799" customFormat="false" ht="15" hidden="false" customHeight="false" outlineLevel="0" collapsed="false">
      <c r="A799" s="13" t="s">
        <v>595</v>
      </c>
      <c r="B799" s="13" t="s">
        <v>594</v>
      </c>
      <c r="C799" s="13" t="s">
        <v>1439</v>
      </c>
      <c r="D799" s="13" t="s">
        <v>1469</v>
      </c>
      <c r="E799" s="13" t="s">
        <v>1496</v>
      </c>
      <c r="F799" s="13" t="s">
        <v>1505</v>
      </c>
      <c r="G799" s="61" t="n">
        <v>2658729317</v>
      </c>
      <c r="H799" s="13" t="s">
        <v>1435</v>
      </c>
      <c r="I799" s="13" t="s">
        <v>1498</v>
      </c>
      <c r="J799" s="13" t="n">
        <v>77</v>
      </c>
      <c r="K799" s="13" t="s">
        <v>1473</v>
      </c>
      <c r="L799" s="13" t="s">
        <v>1438</v>
      </c>
      <c r="M799" s="13"/>
    </row>
    <row r="800" customFormat="false" ht="15" hidden="false" customHeight="false" outlineLevel="0" collapsed="false">
      <c r="A800" s="13" t="s">
        <v>595</v>
      </c>
      <c r="B800" s="13" t="s">
        <v>594</v>
      </c>
      <c r="C800" s="13" t="s">
        <v>1442</v>
      </c>
      <c r="D800" s="13" t="s">
        <v>1469</v>
      </c>
      <c r="E800" s="13" t="s">
        <v>1496</v>
      </c>
      <c r="F800" s="13" t="s">
        <v>1505</v>
      </c>
      <c r="G800" s="61" t="n">
        <v>4642857471</v>
      </c>
      <c r="H800" s="13" t="s">
        <v>1435</v>
      </c>
      <c r="I800" s="13" t="s">
        <v>1498</v>
      </c>
      <c r="J800" s="13" t="n">
        <v>77</v>
      </c>
      <c r="K800" s="13" t="s">
        <v>1473</v>
      </c>
      <c r="L800" s="13" t="s">
        <v>1443</v>
      </c>
      <c r="M800" s="13"/>
    </row>
    <row r="801" customFormat="false" ht="15" hidden="false" customHeight="false" outlineLevel="0" collapsed="false">
      <c r="A801" s="13" t="s">
        <v>595</v>
      </c>
      <c r="B801" s="13" t="s">
        <v>594</v>
      </c>
      <c r="C801" s="13" t="s">
        <v>1444</v>
      </c>
      <c r="D801" s="13" t="s">
        <v>1469</v>
      </c>
      <c r="E801" s="13" t="s">
        <v>1496</v>
      </c>
      <c r="F801" s="13" t="s">
        <v>1505</v>
      </c>
      <c r="G801" s="61" t="n">
        <v>4005700364</v>
      </c>
      <c r="H801" s="13" t="s">
        <v>1435</v>
      </c>
      <c r="I801" s="13" t="s">
        <v>1498</v>
      </c>
      <c r="J801" s="13" t="n">
        <v>68</v>
      </c>
      <c r="K801" s="13" t="s">
        <v>1474</v>
      </c>
      <c r="L801" s="13" t="s">
        <v>1443</v>
      </c>
      <c r="M801" s="13"/>
    </row>
    <row r="802" customFormat="false" ht="15" hidden="false" customHeight="false" outlineLevel="0" collapsed="false">
      <c r="A802" s="13" t="s">
        <v>595</v>
      </c>
      <c r="B802" s="13" t="s">
        <v>594</v>
      </c>
      <c r="C802" s="13" t="s">
        <v>1446</v>
      </c>
      <c r="D802" s="13" t="s">
        <v>1469</v>
      </c>
      <c r="E802" s="13" t="s">
        <v>1496</v>
      </c>
      <c r="F802" s="13" t="s">
        <v>1505</v>
      </c>
      <c r="G802" s="61" t="n">
        <v>3702882279</v>
      </c>
      <c r="H802" s="13" t="s">
        <v>1435</v>
      </c>
      <c r="I802" s="13" t="s">
        <v>1498</v>
      </c>
      <c r="J802" s="13" t="n">
        <v>66</v>
      </c>
      <c r="K802" s="13" t="s">
        <v>1475</v>
      </c>
      <c r="L802" s="13" t="s">
        <v>1443</v>
      </c>
      <c r="M802" s="13"/>
    </row>
    <row r="803" customFormat="false" ht="15" hidden="false" customHeight="false" outlineLevel="0" collapsed="false">
      <c r="A803" s="13" t="s">
        <v>595</v>
      </c>
      <c r="B803" s="13" t="s">
        <v>594</v>
      </c>
      <c r="C803" s="13" t="s">
        <v>1448</v>
      </c>
      <c r="D803" s="13" t="s">
        <v>1469</v>
      </c>
      <c r="E803" s="13" t="s">
        <v>1496</v>
      </c>
      <c r="F803" s="13" t="s">
        <v>1505</v>
      </c>
      <c r="G803" s="61" t="n">
        <v>3422715022</v>
      </c>
      <c r="H803" s="13" t="s">
        <v>1435</v>
      </c>
      <c r="I803" s="13" t="s">
        <v>1498</v>
      </c>
      <c r="J803" s="13" t="n">
        <v>77</v>
      </c>
      <c r="K803" s="13" t="s">
        <v>1476</v>
      </c>
      <c r="L803" s="13" t="s">
        <v>1443</v>
      </c>
      <c r="M803" s="13"/>
    </row>
    <row r="804" customFormat="false" ht="15" hidden="false" customHeight="false" outlineLevel="0" collapsed="false">
      <c r="A804" s="13" t="s">
        <v>595</v>
      </c>
      <c r="B804" s="13" t="s">
        <v>594</v>
      </c>
      <c r="C804" s="13" t="s">
        <v>1439</v>
      </c>
      <c r="D804" s="13" t="s">
        <v>1469</v>
      </c>
      <c r="E804" s="13" t="s">
        <v>1496</v>
      </c>
      <c r="F804" s="13" t="s">
        <v>1506</v>
      </c>
      <c r="G804" s="61" t="n">
        <v>1480282020</v>
      </c>
      <c r="H804" s="13" t="s">
        <v>1435</v>
      </c>
      <c r="I804" s="13" t="s">
        <v>1498</v>
      </c>
      <c r="J804" s="13" t="n">
        <v>77</v>
      </c>
      <c r="K804" s="13" t="s">
        <v>1473</v>
      </c>
      <c r="L804" s="13" t="s">
        <v>1438</v>
      </c>
      <c r="M804" s="13"/>
    </row>
    <row r="805" customFormat="false" ht="15" hidden="false" customHeight="false" outlineLevel="0" collapsed="false">
      <c r="A805" s="13" t="s">
        <v>595</v>
      </c>
      <c r="B805" s="13" t="s">
        <v>594</v>
      </c>
      <c r="C805" s="13" t="s">
        <v>1442</v>
      </c>
      <c r="D805" s="13" t="s">
        <v>1469</v>
      </c>
      <c r="E805" s="13" t="s">
        <v>1496</v>
      </c>
      <c r="F805" s="13" t="s">
        <v>1506</v>
      </c>
      <c r="G805" s="61" t="n">
        <v>2339545176</v>
      </c>
      <c r="H805" s="13" t="s">
        <v>1435</v>
      </c>
      <c r="I805" s="13" t="s">
        <v>1498</v>
      </c>
      <c r="J805" s="13" t="n">
        <v>77</v>
      </c>
      <c r="K805" s="13" t="s">
        <v>1473</v>
      </c>
      <c r="L805" s="13" t="s">
        <v>1443</v>
      </c>
      <c r="M805" s="13"/>
    </row>
    <row r="806" customFormat="false" ht="15" hidden="false" customHeight="false" outlineLevel="0" collapsed="false">
      <c r="A806" s="13" t="s">
        <v>595</v>
      </c>
      <c r="B806" s="13" t="s">
        <v>594</v>
      </c>
      <c r="C806" s="13" t="s">
        <v>1444</v>
      </c>
      <c r="D806" s="13" t="s">
        <v>1469</v>
      </c>
      <c r="E806" s="13" t="s">
        <v>1496</v>
      </c>
      <c r="F806" s="13" t="s">
        <v>1506</v>
      </c>
      <c r="G806" s="61" t="n">
        <v>1689185119</v>
      </c>
      <c r="H806" s="13" t="s">
        <v>1435</v>
      </c>
      <c r="I806" s="13" t="s">
        <v>1498</v>
      </c>
      <c r="J806" s="13" t="n">
        <v>68</v>
      </c>
      <c r="K806" s="13" t="s">
        <v>1474</v>
      </c>
      <c r="L806" s="13" t="s">
        <v>1443</v>
      </c>
      <c r="M806" s="13"/>
    </row>
    <row r="807" customFormat="false" ht="15" hidden="false" customHeight="false" outlineLevel="0" collapsed="false">
      <c r="A807" s="13" t="s">
        <v>595</v>
      </c>
      <c r="B807" s="13" t="s">
        <v>594</v>
      </c>
      <c r="C807" s="13" t="s">
        <v>1446</v>
      </c>
      <c r="D807" s="13" t="s">
        <v>1469</v>
      </c>
      <c r="E807" s="13" t="s">
        <v>1496</v>
      </c>
      <c r="F807" s="13" t="s">
        <v>1506</v>
      </c>
      <c r="G807" s="61" t="n">
        <v>1882522806</v>
      </c>
      <c r="H807" s="13" t="s">
        <v>1435</v>
      </c>
      <c r="I807" s="13" t="s">
        <v>1498</v>
      </c>
      <c r="J807" s="13" t="n">
        <v>66</v>
      </c>
      <c r="K807" s="13" t="s">
        <v>1475</v>
      </c>
      <c r="L807" s="13" t="s">
        <v>1443</v>
      </c>
      <c r="M807" s="13"/>
    </row>
    <row r="808" customFormat="false" ht="15" hidden="false" customHeight="false" outlineLevel="0" collapsed="false">
      <c r="A808" s="13" t="s">
        <v>595</v>
      </c>
      <c r="B808" s="13" t="s">
        <v>594</v>
      </c>
      <c r="C808" s="13" t="s">
        <v>1448</v>
      </c>
      <c r="D808" s="13" t="s">
        <v>1469</v>
      </c>
      <c r="E808" s="13" t="s">
        <v>1496</v>
      </c>
      <c r="F808" s="13" t="s">
        <v>1506</v>
      </c>
      <c r="G808" s="61" t="n">
        <v>2251420455</v>
      </c>
      <c r="H808" s="13" t="s">
        <v>1435</v>
      </c>
      <c r="I808" s="13" t="s">
        <v>1498</v>
      </c>
      <c r="J808" s="13" t="n">
        <v>77</v>
      </c>
      <c r="K808" s="13" t="s">
        <v>1476</v>
      </c>
      <c r="L808" s="13" t="s">
        <v>1443</v>
      </c>
      <c r="M808" s="13"/>
    </row>
    <row r="809" customFormat="false" ht="15" hidden="false" customHeight="false" outlineLevel="0" collapsed="false">
      <c r="A809" s="13" t="s">
        <v>595</v>
      </c>
      <c r="B809" s="13" t="s">
        <v>594</v>
      </c>
      <c r="C809" s="13" t="s">
        <v>1439</v>
      </c>
      <c r="D809" s="13" t="s">
        <v>1469</v>
      </c>
      <c r="E809" s="13" t="s">
        <v>1496</v>
      </c>
      <c r="F809" s="13" t="s">
        <v>1507</v>
      </c>
      <c r="G809" s="61" t="n">
        <v>1275741550</v>
      </c>
      <c r="H809" s="13" t="s">
        <v>1435</v>
      </c>
      <c r="I809" s="13" t="s">
        <v>1498</v>
      </c>
      <c r="J809" s="13" t="n">
        <v>77</v>
      </c>
      <c r="K809" s="13" t="s">
        <v>1473</v>
      </c>
      <c r="L809" s="13" t="s">
        <v>1438</v>
      </c>
      <c r="M809" s="13"/>
    </row>
    <row r="810" customFormat="false" ht="15" hidden="false" customHeight="false" outlineLevel="0" collapsed="false">
      <c r="A810" s="13" t="s">
        <v>595</v>
      </c>
      <c r="B810" s="13" t="s">
        <v>594</v>
      </c>
      <c r="C810" s="13" t="s">
        <v>1442</v>
      </c>
      <c r="D810" s="13" t="s">
        <v>1469</v>
      </c>
      <c r="E810" s="13" t="s">
        <v>1496</v>
      </c>
      <c r="F810" s="13" t="s">
        <v>1507</v>
      </c>
      <c r="G810" s="61" t="n">
        <v>2922718460</v>
      </c>
      <c r="H810" s="13" t="s">
        <v>1435</v>
      </c>
      <c r="I810" s="13" t="s">
        <v>1498</v>
      </c>
      <c r="J810" s="13" t="n">
        <v>77</v>
      </c>
      <c r="K810" s="13" t="s">
        <v>1473</v>
      </c>
      <c r="L810" s="13" t="s">
        <v>1443</v>
      </c>
      <c r="M810" s="13"/>
    </row>
    <row r="811" customFormat="false" ht="15" hidden="false" customHeight="false" outlineLevel="0" collapsed="false">
      <c r="A811" s="13" t="s">
        <v>595</v>
      </c>
      <c r="B811" s="13" t="s">
        <v>594</v>
      </c>
      <c r="C811" s="13" t="s">
        <v>1444</v>
      </c>
      <c r="D811" s="13" t="s">
        <v>1469</v>
      </c>
      <c r="E811" s="13" t="s">
        <v>1496</v>
      </c>
      <c r="F811" s="13" t="s">
        <v>1507</v>
      </c>
      <c r="G811" s="61" t="n">
        <v>2358340776</v>
      </c>
      <c r="H811" s="13" t="s">
        <v>1435</v>
      </c>
      <c r="I811" s="13" t="s">
        <v>1498</v>
      </c>
      <c r="J811" s="13" t="n">
        <v>68</v>
      </c>
      <c r="K811" s="13" t="s">
        <v>1474</v>
      </c>
      <c r="L811" s="13" t="s">
        <v>1443</v>
      </c>
      <c r="M811" s="13"/>
    </row>
    <row r="812" customFormat="false" ht="15" hidden="false" customHeight="false" outlineLevel="0" collapsed="false">
      <c r="A812" s="13" t="s">
        <v>595</v>
      </c>
      <c r="B812" s="13" t="s">
        <v>594</v>
      </c>
      <c r="C812" s="13" t="s">
        <v>1446</v>
      </c>
      <c r="D812" s="13" t="s">
        <v>1469</v>
      </c>
      <c r="E812" s="13" t="s">
        <v>1496</v>
      </c>
      <c r="F812" s="13" t="s">
        <v>1507</v>
      </c>
      <c r="G812" s="61" t="n">
        <v>1931654349</v>
      </c>
      <c r="H812" s="13" t="s">
        <v>1435</v>
      </c>
      <c r="I812" s="13" t="s">
        <v>1498</v>
      </c>
      <c r="J812" s="13" t="n">
        <v>66</v>
      </c>
      <c r="K812" s="13" t="s">
        <v>1475</v>
      </c>
      <c r="L812" s="13" t="s">
        <v>1443</v>
      </c>
      <c r="M812" s="13"/>
    </row>
    <row r="813" customFormat="false" ht="15" hidden="false" customHeight="false" outlineLevel="0" collapsed="false">
      <c r="A813" s="13" t="s">
        <v>595</v>
      </c>
      <c r="B813" s="13" t="s">
        <v>594</v>
      </c>
      <c r="C813" s="13" t="s">
        <v>1448</v>
      </c>
      <c r="D813" s="13" t="s">
        <v>1469</v>
      </c>
      <c r="E813" s="13" t="s">
        <v>1496</v>
      </c>
      <c r="F813" s="13" t="s">
        <v>1507</v>
      </c>
      <c r="G813" s="61" t="n">
        <v>2098802874</v>
      </c>
      <c r="H813" s="13" t="s">
        <v>1435</v>
      </c>
      <c r="I813" s="13" t="s">
        <v>1498</v>
      </c>
      <c r="J813" s="13" t="n">
        <v>77</v>
      </c>
      <c r="K813" s="13" t="s">
        <v>1476</v>
      </c>
      <c r="L813" s="13" t="s">
        <v>1443</v>
      </c>
      <c r="M813" s="13"/>
    </row>
    <row r="814" customFormat="false" ht="15" hidden="false" customHeight="false" outlineLevel="0" collapsed="false">
      <c r="A814" s="13" t="s">
        <v>595</v>
      </c>
      <c r="B814" s="13" t="s">
        <v>594</v>
      </c>
      <c r="C814" s="13" t="s">
        <v>1439</v>
      </c>
      <c r="D814" s="13" t="s">
        <v>1469</v>
      </c>
      <c r="E814" s="13" t="s">
        <v>1496</v>
      </c>
      <c r="F814" s="13" t="s">
        <v>1508</v>
      </c>
      <c r="G814" s="61" t="n">
        <v>1225017764</v>
      </c>
      <c r="H814" s="13" t="s">
        <v>1435</v>
      </c>
      <c r="I814" s="13" t="s">
        <v>1498</v>
      </c>
      <c r="J814" s="13" t="n">
        <v>77</v>
      </c>
      <c r="K814" s="13" t="s">
        <v>1473</v>
      </c>
      <c r="L814" s="13" t="s">
        <v>1438</v>
      </c>
      <c r="M814" s="13"/>
    </row>
    <row r="815" customFormat="false" ht="15" hidden="false" customHeight="false" outlineLevel="0" collapsed="false">
      <c r="A815" s="13" t="s">
        <v>595</v>
      </c>
      <c r="B815" s="13" t="s">
        <v>594</v>
      </c>
      <c r="C815" s="13" t="s">
        <v>1442</v>
      </c>
      <c r="D815" s="13" t="s">
        <v>1469</v>
      </c>
      <c r="E815" s="13" t="s">
        <v>1496</v>
      </c>
      <c r="F815" s="13" t="s">
        <v>1508</v>
      </c>
      <c r="G815" s="61" t="n">
        <v>1632638548</v>
      </c>
      <c r="H815" s="13" t="s">
        <v>1435</v>
      </c>
      <c r="I815" s="13" t="s">
        <v>1498</v>
      </c>
      <c r="J815" s="13" t="n">
        <v>77</v>
      </c>
      <c r="K815" s="13" t="s">
        <v>1473</v>
      </c>
      <c r="L815" s="13" t="s">
        <v>1443</v>
      </c>
      <c r="M815" s="13"/>
    </row>
    <row r="816" customFormat="false" ht="15" hidden="false" customHeight="false" outlineLevel="0" collapsed="false">
      <c r="A816" s="13" t="s">
        <v>595</v>
      </c>
      <c r="B816" s="13" t="s">
        <v>594</v>
      </c>
      <c r="C816" s="13" t="s">
        <v>1444</v>
      </c>
      <c r="D816" s="13" t="s">
        <v>1469</v>
      </c>
      <c r="E816" s="13" t="s">
        <v>1496</v>
      </c>
      <c r="F816" s="13" t="s">
        <v>1508</v>
      </c>
      <c r="G816" s="61" t="n">
        <v>878382827</v>
      </c>
      <c r="H816" s="13" t="s">
        <v>1435</v>
      </c>
      <c r="I816" s="13" t="s">
        <v>1498</v>
      </c>
      <c r="J816" s="13" t="n">
        <v>68</v>
      </c>
      <c r="K816" s="13" t="s">
        <v>1474</v>
      </c>
      <c r="L816" s="13" t="s">
        <v>1443</v>
      </c>
      <c r="M816" s="13"/>
    </row>
    <row r="817" customFormat="false" ht="15" hidden="false" customHeight="false" outlineLevel="0" collapsed="false">
      <c r="A817" s="13" t="s">
        <v>595</v>
      </c>
      <c r="B817" s="13" t="s">
        <v>594</v>
      </c>
      <c r="C817" s="13" t="s">
        <v>1446</v>
      </c>
      <c r="D817" s="13" t="s">
        <v>1469</v>
      </c>
      <c r="E817" s="13" t="s">
        <v>1496</v>
      </c>
      <c r="F817" s="13" t="s">
        <v>1508</v>
      </c>
      <c r="G817" s="61" t="n">
        <v>993820632</v>
      </c>
      <c r="H817" s="13" t="s">
        <v>1435</v>
      </c>
      <c r="I817" s="13" t="s">
        <v>1498</v>
      </c>
      <c r="J817" s="13" t="n">
        <v>66</v>
      </c>
      <c r="K817" s="13" t="s">
        <v>1475</v>
      </c>
      <c r="L817" s="13" t="s">
        <v>1443</v>
      </c>
      <c r="M817" s="13"/>
    </row>
    <row r="818" customFormat="false" ht="15" hidden="false" customHeight="false" outlineLevel="0" collapsed="false">
      <c r="A818" s="13" t="s">
        <v>595</v>
      </c>
      <c r="B818" s="13" t="s">
        <v>594</v>
      </c>
      <c r="C818" s="13" t="s">
        <v>1448</v>
      </c>
      <c r="D818" s="13" t="s">
        <v>1469</v>
      </c>
      <c r="E818" s="13" t="s">
        <v>1496</v>
      </c>
      <c r="F818" s="13" t="s">
        <v>1508</v>
      </c>
      <c r="G818" s="61" t="n">
        <v>1206169626</v>
      </c>
      <c r="H818" s="13" t="s">
        <v>1435</v>
      </c>
      <c r="I818" s="13" t="s">
        <v>1498</v>
      </c>
      <c r="J818" s="13" t="n">
        <v>77</v>
      </c>
      <c r="K818" s="13" t="s">
        <v>1476</v>
      </c>
      <c r="L818" s="13" t="s">
        <v>1443</v>
      </c>
      <c r="M818" s="13"/>
    </row>
    <row r="819" customFormat="false" ht="15" hidden="false" customHeight="false" outlineLevel="0" collapsed="false">
      <c r="A819" s="13" t="s">
        <v>595</v>
      </c>
      <c r="B819" s="13" t="s">
        <v>594</v>
      </c>
      <c r="C819" s="13" t="s">
        <v>1439</v>
      </c>
      <c r="D819" s="13" t="s">
        <v>1469</v>
      </c>
      <c r="E819" s="13" t="s">
        <v>1496</v>
      </c>
      <c r="F819" s="13" t="s">
        <v>1509</v>
      </c>
      <c r="G819" s="61" t="n">
        <v>1176299941</v>
      </c>
      <c r="H819" s="13" t="s">
        <v>1435</v>
      </c>
      <c r="I819" s="13" t="s">
        <v>1498</v>
      </c>
      <c r="J819" s="13" t="n">
        <v>77</v>
      </c>
      <c r="K819" s="13" t="s">
        <v>1473</v>
      </c>
      <c r="L819" s="13" t="s">
        <v>1438</v>
      </c>
      <c r="M819" s="13"/>
    </row>
    <row r="820" customFormat="false" ht="15" hidden="false" customHeight="false" outlineLevel="0" collapsed="false">
      <c r="A820" s="13" t="s">
        <v>595</v>
      </c>
      <c r="B820" s="13" t="s">
        <v>594</v>
      </c>
      <c r="C820" s="13" t="s">
        <v>1442</v>
      </c>
      <c r="D820" s="13" t="s">
        <v>1469</v>
      </c>
      <c r="E820" s="13" t="s">
        <v>1496</v>
      </c>
      <c r="F820" s="13" t="s">
        <v>1509</v>
      </c>
      <c r="G820" s="61" t="n">
        <v>1004755712</v>
      </c>
      <c r="H820" s="13" t="s">
        <v>1435</v>
      </c>
      <c r="I820" s="13" t="s">
        <v>1498</v>
      </c>
      <c r="J820" s="13" t="n">
        <v>77</v>
      </c>
      <c r="K820" s="13" t="s">
        <v>1473</v>
      </c>
      <c r="L820" s="13" t="s">
        <v>1443</v>
      </c>
      <c r="M820" s="13"/>
    </row>
    <row r="821" customFormat="false" ht="15" hidden="false" customHeight="false" outlineLevel="0" collapsed="false">
      <c r="A821" s="13" t="s">
        <v>595</v>
      </c>
      <c r="B821" s="13" t="s">
        <v>594</v>
      </c>
      <c r="C821" s="13" t="s">
        <v>1444</v>
      </c>
      <c r="D821" s="13" t="s">
        <v>1469</v>
      </c>
      <c r="E821" s="13" t="s">
        <v>1496</v>
      </c>
      <c r="F821" s="13" t="s">
        <v>1509</v>
      </c>
      <c r="G821" s="61" t="n">
        <v>574501190</v>
      </c>
      <c r="H821" s="13" t="s">
        <v>1435</v>
      </c>
      <c r="I821" s="13" t="s">
        <v>1498</v>
      </c>
      <c r="J821" s="13" t="n">
        <v>68</v>
      </c>
      <c r="K821" s="13" t="s">
        <v>1474</v>
      </c>
      <c r="L821" s="13" t="s">
        <v>1443</v>
      </c>
      <c r="M821" s="13"/>
    </row>
    <row r="822" customFormat="false" ht="15" hidden="false" customHeight="false" outlineLevel="0" collapsed="false">
      <c r="A822" s="13" t="s">
        <v>595</v>
      </c>
      <c r="B822" s="13" t="s">
        <v>594</v>
      </c>
      <c r="C822" s="13" t="s">
        <v>1446</v>
      </c>
      <c r="D822" s="13" t="s">
        <v>1469</v>
      </c>
      <c r="E822" s="13" t="s">
        <v>1496</v>
      </c>
      <c r="F822" s="13" t="s">
        <v>1509</v>
      </c>
      <c r="G822" s="61" t="n">
        <v>693852475</v>
      </c>
      <c r="H822" s="13" t="s">
        <v>1435</v>
      </c>
      <c r="I822" s="13" t="s">
        <v>1498</v>
      </c>
      <c r="J822" s="13" t="n">
        <v>66</v>
      </c>
      <c r="K822" s="13" t="s">
        <v>1475</v>
      </c>
      <c r="L822" s="13" t="s">
        <v>1443</v>
      </c>
      <c r="M822" s="13"/>
    </row>
    <row r="823" customFormat="false" ht="15" hidden="false" customHeight="false" outlineLevel="0" collapsed="false">
      <c r="A823" s="13" t="s">
        <v>595</v>
      </c>
      <c r="B823" s="13" t="s">
        <v>594</v>
      </c>
      <c r="C823" s="13" t="s">
        <v>1448</v>
      </c>
      <c r="D823" s="13" t="s">
        <v>1469</v>
      </c>
      <c r="E823" s="13" t="s">
        <v>1496</v>
      </c>
      <c r="F823" s="13" t="s">
        <v>1509</v>
      </c>
      <c r="G823" s="61" t="n">
        <v>935215228</v>
      </c>
      <c r="H823" s="13" t="s">
        <v>1435</v>
      </c>
      <c r="I823" s="13" t="s">
        <v>1498</v>
      </c>
      <c r="J823" s="13" t="n">
        <v>77</v>
      </c>
      <c r="K823" s="13" t="s">
        <v>1476</v>
      </c>
      <c r="L823" s="13" t="s">
        <v>1443</v>
      </c>
      <c r="M823" s="13"/>
    </row>
    <row r="824" customFormat="false" ht="15" hidden="false" customHeight="false" outlineLevel="0" collapsed="false">
      <c r="A824" s="13" t="s">
        <v>595</v>
      </c>
      <c r="B824" s="13" t="s">
        <v>594</v>
      </c>
      <c r="C824" s="13" t="s">
        <v>1439</v>
      </c>
      <c r="D824" s="13" t="s">
        <v>1469</v>
      </c>
      <c r="E824" s="13" t="s">
        <v>1496</v>
      </c>
      <c r="F824" s="13" t="s">
        <v>1510</v>
      </c>
      <c r="G824" s="61" t="n">
        <v>251119287</v>
      </c>
      <c r="H824" s="13" t="s">
        <v>1435</v>
      </c>
      <c r="I824" s="13" t="s">
        <v>1498</v>
      </c>
      <c r="J824" s="13" t="n">
        <v>77</v>
      </c>
      <c r="K824" s="13" t="s">
        <v>1473</v>
      </c>
      <c r="L824" s="13" t="s">
        <v>1438</v>
      </c>
      <c r="M824" s="13"/>
    </row>
    <row r="825" customFormat="false" ht="15" hidden="false" customHeight="false" outlineLevel="0" collapsed="false">
      <c r="A825" s="13" t="s">
        <v>595</v>
      </c>
      <c r="B825" s="13" t="s">
        <v>594</v>
      </c>
      <c r="C825" s="13" t="s">
        <v>1442</v>
      </c>
      <c r="D825" s="13" t="s">
        <v>1469</v>
      </c>
      <c r="E825" s="13" t="s">
        <v>1496</v>
      </c>
      <c r="F825" s="13" t="s">
        <v>1510</v>
      </c>
      <c r="G825" s="61" t="n">
        <v>1060810675</v>
      </c>
      <c r="H825" s="13" t="s">
        <v>1435</v>
      </c>
      <c r="I825" s="13" t="s">
        <v>1498</v>
      </c>
      <c r="J825" s="13" t="n">
        <v>77</v>
      </c>
      <c r="K825" s="13" t="s">
        <v>1473</v>
      </c>
      <c r="L825" s="13" t="s">
        <v>1443</v>
      </c>
      <c r="M825" s="13"/>
    </row>
    <row r="826" customFormat="false" ht="15" hidden="false" customHeight="false" outlineLevel="0" collapsed="false">
      <c r="A826" s="13" t="s">
        <v>595</v>
      </c>
      <c r="B826" s="13" t="s">
        <v>594</v>
      </c>
      <c r="C826" s="13" t="s">
        <v>1444</v>
      </c>
      <c r="D826" s="13" t="s">
        <v>1469</v>
      </c>
      <c r="E826" s="13" t="s">
        <v>1496</v>
      </c>
      <c r="F826" s="13" t="s">
        <v>1510</v>
      </c>
      <c r="G826" s="61" t="n">
        <v>223192023</v>
      </c>
      <c r="H826" s="13" t="s">
        <v>1435</v>
      </c>
      <c r="I826" s="13" t="s">
        <v>1498</v>
      </c>
      <c r="J826" s="13" t="n">
        <v>68</v>
      </c>
      <c r="K826" s="13" t="s">
        <v>1474</v>
      </c>
      <c r="L826" s="13" t="s">
        <v>1443</v>
      </c>
      <c r="M826" s="13"/>
    </row>
    <row r="827" customFormat="false" ht="15" hidden="false" customHeight="false" outlineLevel="0" collapsed="false">
      <c r="A827" s="13" t="s">
        <v>595</v>
      </c>
      <c r="B827" s="13" t="s">
        <v>594</v>
      </c>
      <c r="C827" s="13" t="s">
        <v>1446</v>
      </c>
      <c r="D827" s="13" t="s">
        <v>1469</v>
      </c>
      <c r="E827" s="13" t="s">
        <v>1496</v>
      </c>
      <c r="F827" s="13" t="s">
        <v>1510</v>
      </c>
      <c r="G827" s="61" t="n">
        <v>374235696</v>
      </c>
      <c r="H827" s="13" t="s">
        <v>1435</v>
      </c>
      <c r="I827" s="13" t="s">
        <v>1498</v>
      </c>
      <c r="J827" s="13" t="n">
        <v>66</v>
      </c>
      <c r="K827" s="13" t="s">
        <v>1475</v>
      </c>
      <c r="L827" s="13" t="s">
        <v>1443</v>
      </c>
      <c r="M827" s="13"/>
    </row>
    <row r="828" customFormat="false" ht="15" hidden="false" customHeight="false" outlineLevel="0" collapsed="false">
      <c r="A828" s="13" t="s">
        <v>595</v>
      </c>
      <c r="B828" s="13" t="s">
        <v>594</v>
      </c>
      <c r="C828" s="13" t="s">
        <v>1448</v>
      </c>
      <c r="D828" s="13" t="s">
        <v>1469</v>
      </c>
      <c r="E828" s="13" t="s">
        <v>1496</v>
      </c>
      <c r="F828" s="13" t="s">
        <v>1510</v>
      </c>
      <c r="G828" s="61" t="n">
        <v>589380671</v>
      </c>
      <c r="H828" s="13" t="s">
        <v>1435</v>
      </c>
      <c r="I828" s="13" t="s">
        <v>1498</v>
      </c>
      <c r="J828" s="13" t="n">
        <v>77</v>
      </c>
      <c r="K828" s="13" t="s">
        <v>1476</v>
      </c>
      <c r="L828" s="13" t="s">
        <v>1443</v>
      </c>
      <c r="M828" s="13"/>
    </row>
    <row r="829" customFormat="false" ht="15" hidden="false" customHeight="false" outlineLevel="0" collapsed="false">
      <c r="A829" s="13" t="s">
        <v>595</v>
      </c>
      <c r="B829" s="13" t="s">
        <v>594</v>
      </c>
      <c r="C829" s="13" t="s">
        <v>1439</v>
      </c>
      <c r="D829" s="13" t="s">
        <v>1469</v>
      </c>
      <c r="E829" s="13" t="s">
        <v>1496</v>
      </c>
      <c r="F829" s="13" t="s">
        <v>1511</v>
      </c>
      <c r="G829" s="61" t="n">
        <v>204179634</v>
      </c>
      <c r="H829" s="13" t="s">
        <v>1435</v>
      </c>
      <c r="I829" s="13" t="s">
        <v>1498</v>
      </c>
      <c r="J829" s="13" t="n">
        <v>77</v>
      </c>
      <c r="K829" s="13" t="s">
        <v>1473</v>
      </c>
      <c r="L829" s="13" t="s">
        <v>1438</v>
      </c>
      <c r="M829" s="13"/>
    </row>
    <row r="830" customFormat="false" ht="15" hidden="false" customHeight="false" outlineLevel="0" collapsed="false">
      <c r="A830" s="13" t="s">
        <v>595</v>
      </c>
      <c r="B830" s="13" t="s">
        <v>594</v>
      </c>
      <c r="C830" s="13" t="s">
        <v>1442</v>
      </c>
      <c r="D830" s="13" t="s">
        <v>1469</v>
      </c>
      <c r="E830" s="13" t="s">
        <v>1496</v>
      </c>
      <c r="F830" s="13" t="s">
        <v>1511</v>
      </c>
      <c r="G830" s="61" t="n">
        <v>621096579</v>
      </c>
      <c r="H830" s="13" t="s">
        <v>1435</v>
      </c>
      <c r="I830" s="13" t="s">
        <v>1498</v>
      </c>
      <c r="J830" s="13" t="n">
        <v>77</v>
      </c>
      <c r="K830" s="13" t="s">
        <v>1473</v>
      </c>
      <c r="L830" s="13" t="s">
        <v>1443</v>
      </c>
      <c r="M830" s="13"/>
    </row>
    <row r="831" customFormat="false" ht="15" hidden="false" customHeight="false" outlineLevel="0" collapsed="false">
      <c r="A831" s="13" t="s">
        <v>595</v>
      </c>
      <c r="B831" s="13" t="s">
        <v>594</v>
      </c>
      <c r="C831" s="13" t="s">
        <v>1444</v>
      </c>
      <c r="D831" s="13" t="s">
        <v>1469</v>
      </c>
      <c r="E831" s="13" t="s">
        <v>1496</v>
      </c>
      <c r="F831" s="13" t="s">
        <v>1511</v>
      </c>
      <c r="G831" s="61" t="n">
        <v>332356815</v>
      </c>
      <c r="H831" s="13" t="s">
        <v>1435</v>
      </c>
      <c r="I831" s="13" t="s">
        <v>1498</v>
      </c>
      <c r="J831" s="13" t="n">
        <v>68</v>
      </c>
      <c r="K831" s="13" t="s">
        <v>1474</v>
      </c>
      <c r="L831" s="13" t="s">
        <v>1443</v>
      </c>
      <c r="M831" s="13"/>
    </row>
    <row r="832" customFormat="false" ht="15" hidden="false" customHeight="false" outlineLevel="0" collapsed="false">
      <c r="A832" s="13" t="s">
        <v>595</v>
      </c>
      <c r="B832" s="13" t="s">
        <v>594</v>
      </c>
      <c r="C832" s="13" t="s">
        <v>1446</v>
      </c>
      <c r="D832" s="13" t="s">
        <v>1469</v>
      </c>
      <c r="E832" s="13" t="s">
        <v>1496</v>
      </c>
      <c r="F832" s="13" t="s">
        <v>1511</v>
      </c>
      <c r="G832" s="61" t="n">
        <v>490319995</v>
      </c>
      <c r="H832" s="13" t="s">
        <v>1435</v>
      </c>
      <c r="I832" s="13" t="s">
        <v>1498</v>
      </c>
      <c r="J832" s="13" t="n">
        <v>66</v>
      </c>
      <c r="K832" s="13" t="s">
        <v>1475</v>
      </c>
      <c r="L832" s="13" t="s">
        <v>1443</v>
      </c>
      <c r="M832" s="13"/>
    </row>
    <row r="833" customFormat="false" ht="15" hidden="false" customHeight="false" outlineLevel="0" collapsed="false">
      <c r="A833" s="13" t="s">
        <v>595</v>
      </c>
      <c r="B833" s="13" t="s">
        <v>594</v>
      </c>
      <c r="C833" s="13" t="s">
        <v>1448</v>
      </c>
      <c r="D833" s="13" t="s">
        <v>1469</v>
      </c>
      <c r="E833" s="13" t="s">
        <v>1496</v>
      </c>
      <c r="F833" s="13" t="s">
        <v>1511</v>
      </c>
      <c r="G833" s="61" t="n">
        <v>556438151</v>
      </c>
      <c r="H833" s="13" t="s">
        <v>1435</v>
      </c>
      <c r="I833" s="13" t="s">
        <v>1498</v>
      </c>
      <c r="J833" s="13" t="n">
        <v>77</v>
      </c>
      <c r="K833" s="13" t="s">
        <v>1476</v>
      </c>
      <c r="L833" s="13" t="s">
        <v>1443</v>
      </c>
      <c r="M833" s="13"/>
    </row>
    <row r="834" customFormat="false" ht="15" hidden="false" customHeight="false" outlineLevel="0" collapsed="false">
      <c r="A834" s="13" t="s">
        <v>595</v>
      </c>
      <c r="B834" s="13" t="s">
        <v>594</v>
      </c>
      <c r="C834" s="13" t="s">
        <v>1439</v>
      </c>
      <c r="D834" s="13" t="s">
        <v>1469</v>
      </c>
      <c r="E834" s="13" t="s">
        <v>1496</v>
      </c>
      <c r="F834" s="13" t="s">
        <v>1512</v>
      </c>
      <c r="G834" s="61" t="n">
        <v>357160147</v>
      </c>
      <c r="H834" s="13" t="s">
        <v>1435</v>
      </c>
      <c r="I834" s="13" t="s">
        <v>1498</v>
      </c>
      <c r="J834" s="13" t="n">
        <v>77</v>
      </c>
      <c r="K834" s="13" t="s">
        <v>1473</v>
      </c>
      <c r="L834" s="13" t="s">
        <v>1438</v>
      </c>
      <c r="M834" s="13"/>
    </row>
    <row r="835" customFormat="false" ht="15" hidden="false" customHeight="false" outlineLevel="0" collapsed="false">
      <c r="A835" s="13" t="s">
        <v>595</v>
      </c>
      <c r="B835" s="13" t="s">
        <v>594</v>
      </c>
      <c r="C835" s="13" t="s">
        <v>1442</v>
      </c>
      <c r="D835" s="13" t="s">
        <v>1469</v>
      </c>
      <c r="E835" s="13" t="s">
        <v>1496</v>
      </c>
      <c r="F835" s="13" t="s">
        <v>1512</v>
      </c>
      <c r="G835" s="61" t="n">
        <v>532625844</v>
      </c>
      <c r="H835" s="13" t="s">
        <v>1435</v>
      </c>
      <c r="I835" s="13" t="s">
        <v>1498</v>
      </c>
      <c r="J835" s="13" t="n">
        <v>77</v>
      </c>
      <c r="K835" s="13" t="s">
        <v>1473</v>
      </c>
      <c r="L835" s="13" t="s">
        <v>1443</v>
      </c>
      <c r="M835" s="13"/>
    </row>
    <row r="836" customFormat="false" ht="15" hidden="false" customHeight="false" outlineLevel="0" collapsed="false">
      <c r="A836" s="13" t="s">
        <v>595</v>
      </c>
      <c r="B836" s="13" t="s">
        <v>594</v>
      </c>
      <c r="C836" s="13" t="s">
        <v>1444</v>
      </c>
      <c r="D836" s="13" t="s">
        <v>1469</v>
      </c>
      <c r="E836" s="13" t="s">
        <v>1496</v>
      </c>
      <c r="F836" s="13" t="s">
        <v>1512</v>
      </c>
      <c r="G836" s="61" t="n">
        <v>384759532</v>
      </c>
      <c r="H836" s="13" t="s">
        <v>1435</v>
      </c>
      <c r="I836" s="13" t="s">
        <v>1498</v>
      </c>
      <c r="J836" s="13" t="n">
        <v>68</v>
      </c>
      <c r="K836" s="13" t="s">
        <v>1474</v>
      </c>
      <c r="L836" s="13" t="s">
        <v>1443</v>
      </c>
      <c r="M836" s="13"/>
    </row>
    <row r="837" customFormat="false" ht="15" hidden="false" customHeight="false" outlineLevel="0" collapsed="false">
      <c r="A837" s="13" t="s">
        <v>595</v>
      </c>
      <c r="B837" s="13" t="s">
        <v>594</v>
      </c>
      <c r="C837" s="13" t="s">
        <v>1446</v>
      </c>
      <c r="D837" s="13" t="s">
        <v>1469</v>
      </c>
      <c r="E837" s="13" t="s">
        <v>1496</v>
      </c>
      <c r="F837" s="13" t="s">
        <v>1512</v>
      </c>
      <c r="G837" s="61" t="n">
        <v>408055398</v>
      </c>
      <c r="H837" s="13" t="s">
        <v>1435</v>
      </c>
      <c r="I837" s="13" t="s">
        <v>1498</v>
      </c>
      <c r="J837" s="13" t="n">
        <v>66</v>
      </c>
      <c r="K837" s="13" t="s">
        <v>1475</v>
      </c>
      <c r="L837" s="13" t="s">
        <v>1443</v>
      </c>
      <c r="M837" s="13"/>
    </row>
    <row r="838" customFormat="false" ht="15" hidden="false" customHeight="false" outlineLevel="0" collapsed="false">
      <c r="A838" s="13" t="s">
        <v>595</v>
      </c>
      <c r="B838" s="13" t="s">
        <v>594</v>
      </c>
      <c r="C838" s="13" t="s">
        <v>1448</v>
      </c>
      <c r="D838" s="13" t="s">
        <v>1469</v>
      </c>
      <c r="E838" s="13" t="s">
        <v>1496</v>
      </c>
      <c r="F838" s="13" t="s">
        <v>1512</v>
      </c>
      <c r="G838" s="61" t="n">
        <v>420312052</v>
      </c>
      <c r="H838" s="13" t="s">
        <v>1435</v>
      </c>
      <c r="I838" s="13" t="s">
        <v>1498</v>
      </c>
      <c r="J838" s="13" t="n">
        <v>77</v>
      </c>
      <c r="K838" s="13" t="s">
        <v>1476</v>
      </c>
      <c r="L838" s="13" t="s">
        <v>1443</v>
      </c>
      <c r="M838" s="13"/>
    </row>
    <row r="839" customFormat="false" ht="15" hidden="false" customHeight="false" outlineLevel="0" collapsed="false">
      <c r="A839" s="13" t="s">
        <v>595</v>
      </c>
      <c r="B839" s="13" t="s">
        <v>594</v>
      </c>
      <c r="C839" s="13" t="s">
        <v>1444</v>
      </c>
      <c r="D839" s="13" t="s">
        <v>1469</v>
      </c>
      <c r="E839" s="13" t="s">
        <v>1496</v>
      </c>
      <c r="F839" s="13" t="s">
        <v>1513</v>
      </c>
      <c r="G839" s="61" t="n">
        <v>382896083</v>
      </c>
      <c r="H839" s="13" t="s">
        <v>1435</v>
      </c>
      <c r="I839" s="13" t="s">
        <v>1498</v>
      </c>
      <c r="J839" s="13" t="n">
        <v>68</v>
      </c>
      <c r="K839" s="13" t="s">
        <v>1474</v>
      </c>
      <c r="L839" s="13" t="s">
        <v>1443</v>
      </c>
      <c r="M839" s="13"/>
    </row>
    <row r="840" customFormat="false" ht="15" hidden="false" customHeight="false" outlineLevel="0" collapsed="false">
      <c r="A840" s="13" t="s">
        <v>595</v>
      </c>
      <c r="B840" s="13" t="s">
        <v>594</v>
      </c>
      <c r="C840" s="13" t="s">
        <v>1446</v>
      </c>
      <c r="D840" s="13" t="s">
        <v>1469</v>
      </c>
      <c r="E840" s="13" t="s">
        <v>1496</v>
      </c>
      <c r="F840" s="13" t="s">
        <v>1513</v>
      </c>
      <c r="G840" s="61" t="n">
        <v>1278126523</v>
      </c>
      <c r="H840" s="13" t="s">
        <v>1435</v>
      </c>
      <c r="I840" s="13" t="s">
        <v>1498</v>
      </c>
      <c r="J840" s="13" t="n">
        <v>66</v>
      </c>
      <c r="K840" s="13" t="s">
        <v>1475</v>
      </c>
      <c r="L840" s="13" t="s">
        <v>1443</v>
      </c>
      <c r="M840" s="13"/>
    </row>
    <row r="841" customFormat="false" ht="15" hidden="false" customHeight="false" outlineLevel="0" collapsed="false">
      <c r="A841" s="13" t="s">
        <v>595</v>
      </c>
      <c r="B841" s="13" t="s">
        <v>594</v>
      </c>
      <c r="C841" s="13" t="s">
        <v>1448</v>
      </c>
      <c r="D841" s="13" t="s">
        <v>1469</v>
      </c>
      <c r="E841" s="13" t="s">
        <v>1496</v>
      </c>
      <c r="F841" s="13" t="s">
        <v>1513</v>
      </c>
      <c r="G841" s="61" t="n">
        <v>20739873</v>
      </c>
      <c r="H841" s="13" t="s">
        <v>1435</v>
      </c>
      <c r="I841" s="13" t="s">
        <v>1498</v>
      </c>
      <c r="J841" s="13" t="n">
        <v>77</v>
      </c>
      <c r="K841" s="13" t="s">
        <v>1476</v>
      </c>
      <c r="L841" s="13" t="s">
        <v>1443</v>
      </c>
      <c r="M841" s="13"/>
    </row>
    <row r="842" customFormat="false" ht="15" hidden="false" customHeight="false" outlineLevel="0" collapsed="false">
      <c r="A842" s="13" t="s">
        <v>595</v>
      </c>
      <c r="B842" s="13" t="s">
        <v>594</v>
      </c>
      <c r="C842" s="13" t="s">
        <v>1439</v>
      </c>
      <c r="D842" s="13" t="s">
        <v>1469</v>
      </c>
      <c r="E842" s="13" t="s">
        <v>1496</v>
      </c>
      <c r="F842" s="13" t="s">
        <v>1495</v>
      </c>
      <c r="G842" s="61" t="n">
        <v>2805427454</v>
      </c>
      <c r="H842" s="13" t="s">
        <v>1435</v>
      </c>
      <c r="I842" s="13" t="s">
        <v>1498</v>
      </c>
      <c r="J842" s="13" t="n">
        <v>77</v>
      </c>
      <c r="K842" s="13" t="s">
        <v>1473</v>
      </c>
      <c r="L842" s="13" t="s">
        <v>1438</v>
      </c>
      <c r="M842" s="13"/>
    </row>
    <row r="843" customFormat="false" ht="15" hidden="false" customHeight="false" outlineLevel="0" collapsed="false">
      <c r="A843" s="13" t="s">
        <v>595</v>
      </c>
      <c r="B843" s="13" t="s">
        <v>594</v>
      </c>
      <c r="C843" s="13" t="s">
        <v>1442</v>
      </c>
      <c r="D843" s="13" t="s">
        <v>1469</v>
      </c>
      <c r="E843" s="13" t="s">
        <v>1496</v>
      </c>
      <c r="F843" s="13" t="s">
        <v>1495</v>
      </c>
      <c r="G843" s="61" t="n">
        <v>1632304955</v>
      </c>
      <c r="H843" s="13" t="s">
        <v>1435</v>
      </c>
      <c r="I843" s="13" t="s">
        <v>1498</v>
      </c>
      <c r="J843" s="13" t="n">
        <v>77</v>
      </c>
      <c r="K843" s="13" t="s">
        <v>1473</v>
      </c>
      <c r="L843" s="13" t="s">
        <v>1443</v>
      </c>
      <c r="M843" s="13"/>
    </row>
    <row r="844" customFormat="false" ht="15" hidden="false" customHeight="false" outlineLevel="0" collapsed="false">
      <c r="A844" s="13" t="s">
        <v>595</v>
      </c>
      <c r="B844" s="13" t="s">
        <v>594</v>
      </c>
      <c r="C844" s="13" t="s">
        <v>1444</v>
      </c>
      <c r="D844" s="13" t="s">
        <v>1469</v>
      </c>
      <c r="E844" s="13" t="s">
        <v>1496</v>
      </c>
      <c r="F844" s="13" t="s">
        <v>1495</v>
      </c>
      <c r="G844" s="61" t="n">
        <v>653342618</v>
      </c>
      <c r="H844" s="13" t="s">
        <v>1435</v>
      </c>
      <c r="I844" s="13" t="s">
        <v>1498</v>
      </c>
      <c r="J844" s="13" t="n">
        <v>68</v>
      </c>
      <c r="K844" s="13" t="s">
        <v>1474</v>
      </c>
      <c r="L844" s="13" t="s">
        <v>1443</v>
      </c>
      <c r="M844" s="13"/>
    </row>
    <row r="845" customFormat="false" ht="15" hidden="false" customHeight="false" outlineLevel="0" collapsed="false">
      <c r="A845" s="13" t="s">
        <v>595</v>
      </c>
      <c r="B845" s="13" t="s">
        <v>594</v>
      </c>
      <c r="C845" s="13" t="s">
        <v>1446</v>
      </c>
      <c r="D845" s="13" t="s">
        <v>1469</v>
      </c>
      <c r="E845" s="13" t="s">
        <v>1496</v>
      </c>
      <c r="F845" s="13" t="s">
        <v>1495</v>
      </c>
      <c r="G845" s="61" t="n">
        <v>672536043</v>
      </c>
      <c r="H845" s="13" t="s">
        <v>1435</v>
      </c>
      <c r="I845" s="13" t="s">
        <v>1498</v>
      </c>
      <c r="J845" s="13" t="n">
        <v>66</v>
      </c>
      <c r="K845" s="13" t="s">
        <v>1475</v>
      </c>
      <c r="L845" s="13" t="s">
        <v>1443</v>
      </c>
      <c r="M845" s="13"/>
    </row>
    <row r="846" customFormat="false" ht="15" hidden="false" customHeight="false" outlineLevel="0" collapsed="false">
      <c r="A846" s="13" t="s">
        <v>595</v>
      </c>
      <c r="B846" s="13" t="s">
        <v>594</v>
      </c>
      <c r="C846" s="13" t="s">
        <v>1448</v>
      </c>
      <c r="D846" s="13" t="s">
        <v>1469</v>
      </c>
      <c r="E846" s="13" t="s">
        <v>1496</v>
      </c>
      <c r="F846" s="13" t="s">
        <v>1495</v>
      </c>
      <c r="G846" s="61" t="n">
        <v>1042532244</v>
      </c>
      <c r="H846" s="13" t="s">
        <v>1435</v>
      </c>
      <c r="I846" s="13" t="s">
        <v>1498</v>
      </c>
      <c r="J846" s="13" t="n">
        <v>77</v>
      </c>
      <c r="K846" s="13" t="s">
        <v>1476</v>
      </c>
      <c r="L846" s="13" t="s">
        <v>1443</v>
      </c>
      <c r="M846" s="13"/>
    </row>
    <row r="847" customFormat="false" ht="15" hidden="false" customHeight="false" outlineLevel="0" collapsed="false">
      <c r="A847" s="13" t="s">
        <v>595</v>
      </c>
      <c r="B847" s="13" t="s">
        <v>594</v>
      </c>
      <c r="C847" s="13" t="s">
        <v>1439</v>
      </c>
      <c r="D847" s="13" t="s">
        <v>1469</v>
      </c>
      <c r="E847" s="13" t="s">
        <v>1496</v>
      </c>
      <c r="F847" s="13" t="s">
        <v>1486</v>
      </c>
      <c r="G847" s="61" t="n">
        <v>131835962281</v>
      </c>
      <c r="H847" s="13" t="s">
        <v>1435</v>
      </c>
      <c r="I847" s="13" t="s">
        <v>1498</v>
      </c>
      <c r="J847" s="13" t="n">
        <v>77</v>
      </c>
      <c r="K847" s="13" t="s">
        <v>1473</v>
      </c>
      <c r="L847" s="13" t="s">
        <v>1438</v>
      </c>
      <c r="M847" s="13"/>
    </row>
    <row r="848" customFormat="false" ht="15" hidden="false" customHeight="false" outlineLevel="0" collapsed="false">
      <c r="A848" s="13" t="s">
        <v>595</v>
      </c>
      <c r="B848" s="13" t="s">
        <v>594</v>
      </c>
      <c r="C848" s="13" t="s">
        <v>1442</v>
      </c>
      <c r="D848" s="13" t="s">
        <v>1469</v>
      </c>
      <c r="E848" s="13" t="s">
        <v>1496</v>
      </c>
      <c r="F848" s="13" t="s">
        <v>1486</v>
      </c>
      <c r="G848" s="61" t="n">
        <v>156823647433</v>
      </c>
      <c r="H848" s="13" t="s">
        <v>1435</v>
      </c>
      <c r="I848" s="13" t="s">
        <v>1498</v>
      </c>
      <c r="J848" s="13" t="n">
        <v>77</v>
      </c>
      <c r="K848" s="13" t="s">
        <v>1473</v>
      </c>
      <c r="L848" s="13" t="s">
        <v>1443</v>
      </c>
      <c r="M848" s="13"/>
    </row>
    <row r="849" customFormat="false" ht="15" hidden="false" customHeight="false" outlineLevel="0" collapsed="false">
      <c r="A849" s="13" t="s">
        <v>595</v>
      </c>
      <c r="B849" s="13" t="s">
        <v>594</v>
      </c>
      <c r="C849" s="13" t="s">
        <v>1444</v>
      </c>
      <c r="D849" s="13" t="s">
        <v>1469</v>
      </c>
      <c r="E849" s="13" t="s">
        <v>1496</v>
      </c>
      <c r="F849" s="13" t="s">
        <v>1486</v>
      </c>
      <c r="G849" s="61" t="n">
        <v>125793052442</v>
      </c>
      <c r="H849" s="13" t="s">
        <v>1435</v>
      </c>
      <c r="I849" s="13" t="s">
        <v>1498</v>
      </c>
      <c r="J849" s="13" t="n">
        <v>68</v>
      </c>
      <c r="K849" s="13" t="s">
        <v>1474</v>
      </c>
      <c r="L849" s="13" t="s">
        <v>1443</v>
      </c>
      <c r="M849" s="13"/>
    </row>
    <row r="850" customFormat="false" ht="15" hidden="false" customHeight="false" outlineLevel="0" collapsed="false">
      <c r="A850" s="13" t="s">
        <v>595</v>
      </c>
      <c r="B850" s="13" t="s">
        <v>594</v>
      </c>
      <c r="C850" s="13" t="s">
        <v>1446</v>
      </c>
      <c r="D850" s="13" t="s">
        <v>1469</v>
      </c>
      <c r="E850" s="13" t="s">
        <v>1496</v>
      </c>
      <c r="F850" s="13" t="s">
        <v>1486</v>
      </c>
      <c r="G850" s="61" t="n">
        <v>134515340769</v>
      </c>
      <c r="H850" s="13" t="s">
        <v>1435</v>
      </c>
      <c r="I850" s="13" t="s">
        <v>1498</v>
      </c>
      <c r="J850" s="13" t="n">
        <v>66</v>
      </c>
      <c r="K850" s="13" t="s">
        <v>1475</v>
      </c>
      <c r="L850" s="13" t="s">
        <v>1443</v>
      </c>
      <c r="M850" s="13"/>
    </row>
    <row r="851" customFormat="false" ht="15" hidden="false" customHeight="false" outlineLevel="0" collapsed="false">
      <c r="A851" s="13" t="s">
        <v>595</v>
      </c>
      <c r="B851" s="13" t="s">
        <v>594</v>
      </c>
      <c r="C851" s="13" t="s">
        <v>1448</v>
      </c>
      <c r="D851" s="13" t="s">
        <v>1469</v>
      </c>
      <c r="E851" s="13" t="s">
        <v>1496</v>
      </c>
      <c r="F851" s="13" t="s">
        <v>1486</v>
      </c>
      <c r="G851" s="61" t="n">
        <v>145141717485</v>
      </c>
      <c r="H851" s="13" t="s">
        <v>1435</v>
      </c>
      <c r="I851" s="13" t="s">
        <v>1498</v>
      </c>
      <c r="J851" s="13" t="n">
        <v>77</v>
      </c>
      <c r="K851" s="13" t="s">
        <v>1476</v>
      </c>
      <c r="L851" s="13" t="s">
        <v>1443</v>
      </c>
      <c r="M851" s="13"/>
    </row>
    <row r="852" customFormat="false" ht="15" hidden="false" customHeight="false" outlineLevel="0" collapsed="false">
      <c r="A852" s="13" t="s">
        <v>595</v>
      </c>
      <c r="B852" s="13" t="s">
        <v>594</v>
      </c>
      <c r="C852" s="13" t="s">
        <v>1439</v>
      </c>
      <c r="D852" s="13" t="s">
        <v>1469</v>
      </c>
      <c r="E852" s="13" t="s">
        <v>1514</v>
      </c>
      <c r="F852" s="13" t="s">
        <v>1515</v>
      </c>
      <c r="G852" s="61" t="n">
        <v>6204209122</v>
      </c>
      <c r="H852" s="13" t="s">
        <v>1435</v>
      </c>
      <c r="I852" s="13" t="s">
        <v>1516</v>
      </c>
      <c r="J852" s="13" t="n">
        <v>77</v>
      </c>
      <c r="K852" s="13" t="s">
        <v>1473</v>
      </c>
      <c r="L852" s="13" t="s">
        <v>1438</v>
      </c>
      <c r="M852" s="13"/>
    </row>
    <row r="853" customFormat="false" ht="15" hidden="false" customHeight="false" outlineLevel="0" collapsed="false">
      <c r="A853" s="13" t="s">
        <v>595</v>
      </c>
      <c r="B853" s="13" t="s">
        <v>594</v>
      </c>
      <c r="C853" s="13" t="s">
        <v>1442</v>
      </c>
      <c r="D853" s="13" t="s">
        <v>1469</v>
      </c>
      <c r="E853" s="13" t="s">
        <v>1514</v>
      </c>
      <c r="F853" s="13" t="s">
        <v>1515</v>
      </c>
      <c r="G853" s="61" t="n">
        <v>1560967442</v>
      </c>
      <c r="H853" s="13" t="s">
        <v>1435</v>
      </c>
      <c r="I853" s="13" t="s">
        <v>1516</v>
      </c>
      <c r="J853" s="13" t="n">
        <v>77</v>
      </c>
      <c r="K853" s="13" t="s">
        <v>1473</v>
      </c>
      <c r="L853" s="13" t="s">
        <v>1443</v>
      </c>
      <c r="M853" s="13"/>
    </row>
    <row r="854" customFormat="false" ht="15" hidden="false" customHeight="false" outlineLevel="0" collapsed="false">
      <c r="A854" s="13" t="s">
        <v>595</v>
      </c>
      <c r="B854" s="13" t="s">
        <v>594</v>
      </c>
      <c r="C854" s="13" t="s">
        <v>1444</v>
      </c>
      <c r="D854" s="13" t="s">
        <v>1469</v>
      </c>
      <c r="E854" s="13" t="s">
        <v>1514</v>
      </c>
      <c r="F854" s="13" t="s">
        <v>1515</v>
      </c>
      <c r="G854" s="61" t="n">
        <v>1520809153</v>
      </c>
      <c r="H854" s="13" t="s">
        <v>1435</v>
      </c>
      <c r="I854" s="13" t="s">
        <v>1516</v>
      </c>
      <c r="J854" s="13" t="n">
        <v>68</v>
      </c>
      <c r="K854" s="13" t="s">
        <v>1474</v>
      </c>
      <c r="L854" s="13" t="s">
        <v>1443</v>
      </c>
      <c r="M854" s="13"/>
    </row>
    <row r="855" customFormat="false" ht="15" hidden="false" customHeight="false" outlineLevel="0" collapsed="false">
      <c r="A855" s="13" t="s">
        <v>595</v>
      </c>
      <c r="B855" s="13" t="s">
        <v>594</v>
      </c>
      <c r="C855" s="13" t="s">
        <v>1446</v>
      </c>
      <c r="D855" s="13" t="s">
        <v>1469</v>
      </c>
      <c r="E855" s="13" t="s">
        <v>1514</v>
      </c>
      <c r="F855" s="13" t="s">
        <v>1515</v>
      </c>
      <c r="G855" s="61" t="n">
        <v>2852619973</v>
      </c>
      <c r="H855" s="13" t="s">
        <v>1435</v>
      </c>
      <c r="I855" s="13" t="s">
        <v>1516</v>
      </c>
      <c r="J855" s="13" t="n">
        <v>66</v>
      </c>
      <c r="K855" s="13" t="s">
        <v>1475</v>
      </c>
      <c r="L855" s="13" t="s">
        <v>1443</v>
      </c>
      <c r="M855" s="13"/>
    </row>
    <row r="856" customFormat="false" ht="15" hidden="false" customHeight="false" outlineLevel="0" collapsed="false">
      <c r="A856" s="13" t="s">
        <v>595</v>
      </c>
      <c r="B856" s="13" t="s">
        <v>594</v>
      </c>
      <c r="C856" s="13" t="s">
        <v>1448</v>
      </c>
      <c r="D856" s="13" t="s">
        <v>1469</v>
      </c>
      <c r="E856" s="13" t="s">
        <v>1514</v>
      </c>
      <c r="F856" s="13" t="s">
        <v>1515</v>
      </c>
      <c r="G856" s="61" t="n">
        <v>7772297007</v>
      </c>
      <c r="H856" s="13" t="s">
        <v>1435</v>
      </c>
      <c r="I856" s="13" t="s">
        <v>1516</v>
      </c>
      <c r="J856" s="13" t="n">
        <v>77</v>
      </c>
      <c r="K856" s="13" t="s">
        <v>1476</v>
      </c>
      <c r="L856" s="13" t="s">
        <v>1443</v>
      </c>
      <c r="M856" s="13"/>
    </row>
    <row r="857" customFormat="false" ht="15" hidden="false" customHeight="false" outlineLevel="0" collapsed="false">
      <c r="A857" s="13" t="s">
        <v>595</v>
      </c>
      <c r="B857" s="13" t="s">
        <v>594</v>
      </c>
      <c r="C857" s="13" t="s">
        <v>1448</v>
      </c>
      <c r="D857" s="13" t="s">
        <v>1469</v>
      </c>
      <c r="E857" s="13" t="s">
        <v>1514</v>
      </c>
      <c r="F857" s="13" t="s">
        <v>1517</v>
      </c>
      <c r="G857" s="61" t="n">
        <v>5500000000</v>
      </c>
      <c r="H857" s="13" t="s">
        <v>1435</v>
      </c>
      <c r="I857" s="13" t="s">
        <v>1516</v>
      </c>
      <c r="J857" s="13" t="n">
        <v>77</v>
      </c>
      <c r="K857" s="13" t="s">
        <v>1476</v>
      </c>
      <c r="L857" s="13" t="s">
        <v>1443</v>
      </c>
      <c r="M857" s="13"/>
    </row>
    <row r="858" customFormat="false" ht="15" hidden="false" customHeight="false" outlineLevel="0" collapsed="false">
      <c r="A858" s="13" t="s">
        <v>595</v>
      </c>
      <c r="B858" s="13" t="s">
        <v>594</v>
      </c>
      <c r="C858" s="13" t="s">
        <v>1439</v>
      </c>
      <c r="D858" s="13" t="s">
        <v>1469</v>
      </c>
      <c r="E858" s="13" t="s">
        <v>1514</v>
      </c>
      <c r="F858" s="13" t="s">
        <v>1518</v>
      </c>
      <c r="G858" s="61" t="n">
        <v>2369510277</v>
      </c>
      <c r="H858" s="13" t="s">
        <v>1435</v>
      </c>
      <c r="I858" s="13" t="s">
        <v>1516</v>
      </c>
      <c r="J858" s="13" t="n">
        <v>77</v>
      </c>
      <c r="K858" s="13" t="s">
        <v>1473</v>
      </c>
      <c r="L858" s="13" t="s">
        <v>1438</v>
      </c>
      <c r="M858" s="13"/>
    </row>
    <row r="859" customFormat="false" ht="15" hidden="false" customHeight="false" outlineLevel="0" collapsed="false">
      <c r="A859" s="13" t="s">
        <v>595</v>
      </c>
      <c r="B859" s="13" t="s">
        <v>594</v>
      </c>
      <c r="C859" s="13" t="s">
        <v>1442</v>
      </c>
      <c r="D859" s="13" t="s">
        <v>1469</v>
      </c>
      <c r="E859" s="13" t="s">
        <v>1514</v>
      </c>
      <c r="F859" s="13" t="s">
        <v>1518</v>
      </c>
      <c r="G859" s="61" t="n">
        <v>8130811205</v>
      </c>
      <c r="H859" s="13" t="s">
        <v>1435</v>
      </c>
      <c r="I859" s="13" t="s">
        <v>1516</v>
      </c>
      <c r="J859" s="13" t="n">
        <v>77</v>
      </c>
      <c r="K859" s="13" t="s">
        <v>1473</v>
      </c>
      <c r="L859" s="13" t="s">
        <v>1443</v>
      </c>
      <c r="M859" s="13"/>
    </row>
    <row r="860" customFormat="false" ht="15" hidden="false" customHeight="false" outlineLevel="0" collapsed="false">
      <c r="A860" s="13" t="s">
        <v>595</v>
      </c>
      <c r="B860" s="13" t="s">
        <v>594</v>
      </c>
      <c r="C860" s="13" t="s">
        <v>1444</v>
      </c>
      <c r="D860" s="13" t="s">
        <v>1469</v>
      </c>
      <c r="E860" s="13" t="s">
        <v>1514</v>
      </c>
      <c r="F860" s="13" t="s">
        <v>1518</v>
      </c>
      <c r="G860" s="61" t="n">
        <v>5102465762</v>
      </c>
      <c r="H860" s="13" t="s">
        <v>1435</v>
      </c>
      <c r="I860" s="13" t="s">
        <v>1516</v>
      </c>
      <c r="J860" s="13" t="n">
        <v>68</v>
      </c>
      <c r="K860" s="13" t="s">
        <v>1474</v>
      </c>
      <c r="L860" s="13" t="s">
        <v>1443</v>
      </c>
      <c r="M860" s="13"/>
    </row>
    <row r="861" customFormat="false" ht="15" hidden="false" customHeight="false" outlineLevel="0" collapsed="false">
      <c r="A861" s="13" t="s">
        <v>595</v>
      </c>
      <c r="B861" s="13" t="s">
        <v>594</v>
      </c>
      <c r="C861" s="13" t="s">
        <v>1446</v>
      </c>
      <c r="D861" s="13" t="s">
        <v>1469</v>
      </c>
      <c r="E861" s="13" t="s">
        <v>1514</v>
      </c>
      <c r="F861" s="13" t="s">
        <v>1518</v>
      </c>
      <c r="G861" s="61" t="n">
        <v>3390090872</v>
      </c>
      <c r="H861" s="13" t="s">
        <v>1435</v>
      </c>
      <c r="I861" s="13" t="s">
        <v>1516</v>
      </c>
      <c r="J861" s="13" t="n">
        <v>66</v>
      </c>
      <c r="K861" s="13" t="s">
        <v>1475</v>
      </c>
      <c r="L861" s="13" t="s">
        <v>1443</v>
      </c>
      <c r="M861" s="13"/>
    </row>
    <row r="862" customFormat="false" ht="15" hidden="false" customHeight="false" outlineLevel="0" collapsed="false">
      <c r="A862" s="13" t="s">
        <v>595</v>
      </c>
      <c r="B862" s="13" t="s">
        <v>594</v>
      </c>
      <c r="C862" s="13" t="s">
        <v>1448</v>
      </c>
      <c r="D862" s="13" t="s">
        <v>1469</v>
      </c>
      <c r="E862" s="13" t="s">
        <v>1514</v>
      </c>
      <c r="F862" s="13" t="s">
        <v>1518</v>
      </c>
      <c r="G862" s="61" t="n">
        <v>2283094578</v>
      </c>
      <c r="H862" s="13" t="s">
        <v>1435</v>
      </c>
      <c r="I862" s="13" t="s">
        <v>1516</v>
      </c>
      <c r="J862" s="13" t="n">
        <v>77</v>
      </c>
      <c r="K862" s="13" t="s">
        <v>1476</v>
      </c>
      <c r="L862" s="13" t="s">
        <v>1443</v>
      </c>
      <c r="M862" s="13"/>
    </row>
    <row r="863" customFormat="false" ht="15" hidden="false" customHeight="false" outlineLevel="0" collapsed="false">
      <c r="A863" s="13" t="s">
        <v>595</v>
      </c>
      <c r="B863" s="13" t="s">
        <v>594</v>
      </c>
      <c r="C863" s="13" t="s">
        <v>1439</v>
      </c>
      <c r="D863" s="13" t="s">
        <v>1469</v>
      </c>
      <c r="E863" s="13" t="s">
        <v>1514</v>
      </c>
      <c r="F863" s="13" t="s">
        <v>1486</v>
      </c>
      <c r="G863" s="61" t="n">
        <v>15781938577</v>
      </c>
      <c r="H863" s="13" t="s">
        <v>1435</v>
      </c>
      <c r="I863" s="13" t="s">
        <v>1516</v>
      </c>
      <c r="J863" s="13" t="n">
        <v>77</v>
      </c>
      <c r="K863" s="13" t="s">
        <v>1473</v>
      </c>
      <c r="L863" s="13" t="s">
        <v>1438</v>
      </c>
      <c r="M863" s="13"/>
    </row>
    <row r="864" customFormat="false" ht="15" hidden="false" customHeight="false" outlineLevel="0" collapsed="false">
      <c r="A864" s="13" t="s">
        <v>595</v>
      </c>
      <c r="B864" s="13" t="s">
        <v>594</v>
      </c>
      <c r="C864" s="13" t="s">
        <v>1442</v>
      </c>
      <c r="D864" s="13" t="s">
        <v>1469</v>
      </c>
      <c r="E864" s="13" t="s">
        <v>1514</v>
      </c>
      <c r="F864" s="13" t="s">
        <v>1486</v>
      </c>
      <c r="G864" s="61" t="n">
        <v>31784929332</v>
      </c>
      <c r="H864" s="13" t="s">
        <v>1435</v>
      </c>
      <c r="I864" s="13" t="s">
        <v>1516</v>
      </c>
      <c r="J864" s="13" t="n">
        <v>77</v>
      </c>
      <c r="K864" s="13" t="s">
        <v>1473</v>
      </c>
      <c r="L864" s="13" t="s">
        <v>1443</v>
      </c>
      <c r="M864" s="13"/>
    </row>
    <row r="865" customFormat="false" ht="15" hidden="false" customHeight="false" outlineLevel="0" collapsed="false">
      <c r="A865" s="13" t="s">
        <v>595</v>
      </c>
      <c r="B865" s="13" t="s">
        <v>594</v>
      </c>
      <c r="C865" s="13" t="s">
        <v>1444</v>
      </c>
      <c r="D865" s="13" t="s">
        <v>1469</v>
      </c>
      <c r="E865" s="13" t="s">
        <v>1514</v>
      </c>
      <c r="F865" s="13" t="s">
        <v>1486</v>
      </c>
      <c r="G865" s="61" t="n">
        <v>6623274915</v>
      </c>
      <c r="H865" s="13" t="s">
        <v>1435</v>
      </c>
      <c r="I865" s="13" t="s">
        <v>1516</v>
      </c>
      <c r="J865" s="13" t="n">
        <v>68</v>
      </c>
      <c r="K865" s="13" t="s">
        <v>1474</v>
      </c>
      <c r="L865" s="13" t="s">
        <v>1443</v>
      </c>
      <c r="M865" s="13"/>
    </row>
    <row r="866" customFormat="false" ht="15" hidden="false" customHeight="false" outlineLevel="0" collapsed="false">
      <c r="A866" s="13" t="s">
        <v>595</v>
      </c>
      <c r="B866" s="13" t="s">
        <v>594</v>
      </c>
      <c r="C866" s="13" t="s">
        <v>1446</v>
      </c>
      <c r="D866" s="13" t="s">
        <v>1469</v>
      </c>
      <c r="E866" s="13" t="s">
        <v>1514</v>
      </c>
      <c r="F866" s="13" t="s">
        <v>1486</v>
      </c>
      <c r="G866" s="61" t="n">
        <v>6242710845</v>
      </c>
      <c r="H866" s="13" t="s">
        <v>1435</v>
      </c>
      <c r="I866" s="13" t="s">
        <v>1516</v>
      </c>
      <c r="J866" s="13" t="n">
        <v>66</v>
      </c>
      <c r="K866" s="13" t="s">
        <v>1475</v>
      </c>
      <c r="L866" s="13" t="s">
        <v>1443</v>
      </c>
      <c r="M866" s="13"/>
    </row>
    <row r="867" customFormat="false" ht="15" hidden="false" customHeight="false" outlineLevel="0" collapsed="false">
      <c r="A867" s="13" t="s">
        <v>595</v>
      </c>
      <c r="B867" s="13" t="s">
        <v>594</v>
      </c>
      <c r="C867" s="13" t="s">
        <v>1448</v>
      </c>
      <c r="D867" s="13" t="s">
        <v>1469</v>
      </c>
      <c r="E867" s="13" t="s">
        <v>1514</v>
      </c>
      <c r="F867" s="13" t="s">
        <v>1486</v>
      </c>
      <c r="G867" s="61" t="n">
        <v>15555391585</v>
      </c>
      <c r="H867" s="13" t="s">
        <v>1435</v>
      </c>
      <c r="I867" s="13" t="s">
        <v>1516</v>
      </c>
      <c r="J867" s="13" t="n">
        <v>77</v>
      </c>
      <c r="K867" s="13" t="s">
        <v>1476</v>
      </c>
      <c r="L867" s="13" t="s">
        <v>1443</v>
      </c>
      <c r="M867" s="13"/>
    </row>
    <row r="868" customFormat="false" ht="15" hidden="false" customHeight="false" outlineLevel="0" collapsed="false">
      <c r="A868" s="13" t="s">
        <v>595</v>
      </c>
      <c r="B868" s="13" t="s">
        <v>594</v>
      </c>
      <c r="C868" s="13" t="s">
        <v>1439</v>
      </c>
      <c r="D868" s="13" t="s">
        <v>1469</v>
      </c>
      <c r="E868" s="13" t="s">
        <v>1519</v>
      </c>
      <c r="F868" s="13" t="s">
        <v>1520</v>
      </c>
      <c r="G868" s="61" t="n">
        <v>18769998671</v>
      </c>
      <c r="H868" s="13" t="s">
        <v>1435</v>
      </c>
      <c r="I868" s="13" t="s">
        <v>1521</v>
      </c>
      <c r="J868" s="13" t="n">
        <v>77</v>
      </c>
      <c r="K868" s="13" t="s">
        <v>1473</v>
      </c>
      <c r="L868" s="13" t="s">
        <v>1438</v>
      </c>
      <c r="M868" s="13"/>
    </row>
    <row r="869" customFormat="false" ht="15" hidden="false" customHeight="false" outlineLevel="0" collapsed="false">
      <c r="A869" s="13" t="s">
        <v>595</v>
      </c>
      <c r="B869" s="13" t="s">
        <v>594</v>
      </c>
      <c r="C869" s="13" t="s">
        <v>1442</v>
      </c>
      <c r="D869" s="13" t="s">
        <v>1469</v>
      </c>
      <c r="E869" s="13" t="s">
        <v>1519</v>
      </c>
      <c r="F869" s="13" t="s">
        <v>1520</v>
      </c>
      <c r="G869" s="61" t="n">
        <v>34089628648</v>
      </c>
      <c r="H869" s="13" t="s">
        <v>1435</v>
      </c>
      <c r="I869" s="13" t="s">
        <v>1521</v>
      </c>
      <c r="J869" s="13" t="n">
        <v>77</v>
      </c>
      <c r="K869" s="13" t="s">
        <v>1473</v>
      </c>
      <c r="L869" s="13" t="s">
        <v>1443</v>
      </c>
      <c r="M869" s="13"/>
    </row>
    <row r="870" customFormat="false" ht="15" hidden="false" customHeight="false" outlineLevel="0" collapsed="false">
      <c r="A870" s="13" t="s">
        <v>595</v>
      </c>
      <c r="B870" s="13" t="s">
        <v>594</v>
      </c>
      <c r="C870" s="13" t="s">
        <v>1444</v>
      </c>
      <c r="D870" s="13" t="s">
        <v>1469</v>
      </c>
      <c r="E870" s="13" t="s">
        <v>1519</v>
      </c>
      <c r="F870" s="13" t="s">
        <v>1520</v>
      </c>
      <c r="G870" s="61" t="n">
        <v>19863980063</v>
      </c>
      <c r="H870" s="13" t="s">
        <v>1435</v>
      </c>
      <c r="I870" s="13" t="s">
        <v>1521</v>
      </c>
      <c r="J870" s="13" t="n">
        <v>68</v>
      </c>
      <c r="K870" s="13" t="s">
        <v>1474</v>
      </c>
      <c r="L870" s="13" t="s">
        <v>1443</v>
      </c>
      <c r="M870" s="13"/>
    </row>
    <row r="871" customFormat="false" ht="15" hidden="false" customHeight="false" outlineLevel="0" collapsed="false">
      <c r="A871" s="13" t="s">
        <v>595</v>
      </c>
      <c r="B871" s="13" t="s">
        <v>594</v>
      </c>
      <c r="C871" s="13" t="s">
        <v>1446</v>
      </c>
      <c r="D871" s="13" t="s">
        <v>1469</v>
      </c>
      <c r="E871" s="13" t="s">
        <v>1519</v>
      </c>
      <c r="F871" s="13" t="s">
        <v>1520</v>
      </c>
      <c r="G871" s="61" t="n">
        <v>25049518335</v>
      </c>
      <c r="H871" s="13" t="s">
        <v>1435</v>
      </c>
      <c r="I871" s="13" t="s">
        <v>1521</v>
      </c>
      <c r="J871" s="13" t="n">
        <v>66</v>
      </c>
      <c r="K871" s="13" t="s">
        <v>1475</v>
      </c>
      <c r="L871" s="13" t="s">
        <v>1443</v>
      </c>
      <c r="M871" s="13"/>
    </row>
    <row r="872" customFormat="false" ht="15" hidden="false" customHeight="false" outlineLevel="0" collapsed="false">
      <c r="A872" s="13" t="s">
        <v>595</v>
      </c>
      <c r="B872" s="13" t="s">
        <v>594</v>
      </c>
      <c r="C872" s="13" t="s">
        <v>1448</v>
      </c>
      <c r="D872" s="13" t="s">
        <v>1469</v>
      </c>
      <c r="E872" s="13" t="s">
        <v>1519</v>
      </c>
      <c r="F872" s="13" t="s">
        <v>1520</v>
      </c>
      <c r="G872" s="61" t="n">
        <v>38611085419</v>
      </c>
      <c r="H872" s="13" t="s">
        <v>1435</v>
      </c>
      <c r="I872" s="13" t="s">
        <v>1521</v>
      </c>
      <c r="J872" s="13" t="n">
        <v>77</v>
      </c>
      <c r="K872" s="13" t="s">
        <v>1476</v>
      </c>
      <c r="L872" s="13" t="s">
        <v>1443</v>
      </c>
      <c r="M872" s="13"/>
    </row>
    <row r="873" customFormat="false" ht="15" hidden="false" customHeight="false" outlineLevel="0" collapsed="false">
      <c r="A873" s="13" t="s">
        <v>595</v>
      </c>
      <c r="B873" s="13" t="s">
        <v>594</v>
      </c>
      <c r="C873" s="13" t="s">
        <v>1448</v>
      </c>
      <c r="D873" s="13" t="s">
        <v>1469</v>
      </c>
      <c r="E873" s="13" t="s">
        <v>1519</v>
      </c>
      <c r="F873" s="13" t="s">
        <v>1522</v>
      </c>
      <c r="G873" s="61" t="n">
        <v>33231521739</v>
      </c>
      <c r="H873" s="13" t="s">
        <v>1435</v>
      </c>
      <c r="I873" s="13" t="s">
        <v>1521</v>
      </c>
      <c r="J873" s="13" t="n">
        <v>77</v>
      </c>
      <c r="K873" s="13" t="s">
        <v>1476</v>
      </c>
      <c r="L873" s="13" t="s">
        <v>1443</v>
      </c>
      <c r="M873" s="13"/>
    </row>
    <row r="874" customFormat="false" ht="15" hidden="false" customHeight="false" outlineLevel="0" collapsed="false">
      <c r="A874" s="13" t="s">
        <v>595</v>
      </c>
      <c r="B874" s="13" t="s">
        <v>594</v>
      </c>
      <c r="C874" s="13" t="s">
        <v>1439</v>
      </c>
      <c r="D874" s="13" t="s">
        <v>1469</v>
      </c>
      <c r="E874" s="13" t="s">
        <v>1519</v>
      </c>
      <c r="F874" s="13" t="s">
        <v>1523</v>
      </c>
      <c r="G874" s="61" t="n">
        <v>6661985970</v>
      </c>
      <c r="H874" s="13" t="s">
        <v>1435</v>
      </c>
      <c r="I874" s="13" t="s">
        <v>1521</v>
      </c>
      <c r="J874" s="13" t="n">
        <v>77</v>
      </c>
      <c r="K874" s="13" t="s">
        <v>1473</v>
      </c>
      <c r="L874" s="13" t="s">
        <v>1438</v>
      </c>
      <c r="M874" s="13"/>
    </row>
    <row r="875" customFormat="false" ht="15" hidden="false" customHeight="false" outlineLevel="0" collapsed="false">
      <c r="A875" s="13" t="s">
        <v>595</v>
      </c>
      <c r="B875" s="13" t="s">
        <v>594</v>
      </c>
      <c r="C875" s="13" t="s">
        <v>1442</v>
      </c>
      <c r="D875" s="13" t="s">
        <v>1469</v>
      </c>
      <c r="E875" s="13" t="s">
        <v>1519</v>
      </c>
      <c r="F875" s="13" t="s">
        <v>1523</v>
      </c>
      <c r="G875" s="61" t="n">
        <v>55243400694</v>
      </c>
      <c r="H875" s="13" t="s">
        <v>1435</v>
      </c>
      <c r="I875" s="13" t="s">
        <v>1521</v>
      </c>
      <c r="J875" s="13" t="n">
        <v>77</v>
      </c>
      <c r="K875" s="13" t="s">
        <v>1473</v>
      </c>
      <c r="L875" s="13" t="s">
        <v>1443</v>
      </c>
      <c r="M875" s="13"/>
    </row>
    <row r="876" customFormat="false" ht="15" hidden="false" customHeight="false" outlineLevel="0" collapsed="false">
      <c r="A876" s="13" t="s">
        <v>595</v>
      </c>
      <c r="B876" s="13" t="s">
        <v>594</v>
      </c>
      <c r="C876" s="13" t="s">
        <v>1444</v>
      </c>
      <c r="D876" s="13" t="s">
        <v>1469</v>
      </c>
      <c r="E876" s="13" t="s">
        <v>1519</v>
      </c>
      <c r="F876" s="13" t="s">
        <v>1523</v>
      </c>
      <c r="G876" s="61" t="n">
        <v>55911107068</v>
      </c>
      <c r="H876" s="13" t="s">
        <v>1435</v>
      </c>
      <c r="I876" s="13" t="s">
        <v>1521</v>
      </c>
      <c r="J876" s="13" t="n">
        <v>68</v>
      </c>
      <c r="K876" s="13" t="s">
        <v>1474</v>
      </c>
      <c r="L876" s="13" t="s">
        <v>1443</v>
      </c>
      <c r="M876" s="13"/>
    </row>
    <row r="877" customFormat="false" ht="15" hidden="false" customHeight="false" outlineLevel="0" collapsed="false">
      <c r="A877" s="13" t="s">
        <v>595</v>
      </c>
      <c r="B877" s="13" t="s">
        <v>594</v>
      </c>
      <c r="C877" s="13" t="s">
        <v>1446</v>
      </c>
      <c r="D877" s="13" t="s">
        <v>1469</v>
      </c>
      <c r="E877" s="13" t="s">
        <v>1519</v>
      </c>
      <c r="F877" s="13" t="s">
        <v>1523</v>
      </c>
      <c r="G877" s="61" t="n">
        <v>49515818841</v>
      </c>
      <c r="H877" s="13" t="s">
        <v>1435</v>
      </c>
      <c r="I877" s="13" t="s">
        <v>1521</v>
      </c>
      <c r="J877" s="13" t="n">
        <v>66</v>
      </c>
      <c r="K877" s="13" t="s">
        <v>1475</v>
      </c>
      <c r="L877" s="13" t="s">
        <v>1443</v>
      </c>
      <c r="M877" s="13"/>
    </row>
    <row r="878" customFormat="false" ht="15" hidden="false" customHeight="false" outlineLevel="0" collapsed="false">
      <c r="A878" s="13" t="s">
        <v>595</v>
      </c>
      <c r="B878" s="13" t="s">
        <v>594</v>
      </c>
      <c r="C878" s="13" t="s">
        <v>1448</v>
      </c>
      <c r="D878" s="13" t="s">
        <v>1469</v>
      </c>
      <c r="E878" s="13" t="s">
        <v>1519</v>
      </c>
      <c r="F878" s="13" t="s">
        <v>1523</v>
      </c>
      <c r="G878" s="61" t="n">
        <v>4679666667</v>
      </c>
      <c r="H878" s="13" t="s">
        <v>1435</v>
      </c>
      <c r="I878" s="13" t="s">
        <v>1521</v>
      </c>
      <c r="J878" s="13" t="n">
        <v>77</v>
      </c>
      <c r="K878" s="13" t="s">
        <v>1476</v>
      </c>
      <c r="L878" s="13" t="s">
        <v>1443</v>
      </c>
      <c r="M878" s="13"/>
    </row>
    <row r="879" customFormat="false" ht="15" hidden="false" customHeight="false" outlineLevel="0" collapsed="false">
      <c r="A879" s="13" t="s">
        <v>595</v>
      </c>
      <c r="B879" s="13" t="s">
        <v>594</v>
      </c>
      <c r="C879" s="13" t="s">
        <v>1439</v>
      </c>
      <c r="D879" s="13" t="s">
        <v>1469</v>
      </c>
      <c r="E879" s="13" t="s">
        <v>1519</v>
      </c>
      <c r="F879" s="13" t="s">
        <v>1524</v>
      </c>
      <c r="G879" s="61" t="n">
        <v>406739901</v>
      </c>
      <c r="H879" s="13" t="s">
        <v>1435</v>
      </c>
      <c r="I879" s="13" t="s">
        <v>1521</v>
      </c>
      <c r="J879" s="13" t="n">
        <v>77</v>
      </c>
      <c r="K879" s="13" t="s">
        <v>1473</v>
      </c>
      <c r="L879" s="13" t="s">
        <v>1438</v>
      </c>
      <c r="M879" s="13"/>
    </row>
    <row r="880" customFormat="false" ht="15" hidden="false" customHeight="false" outlineLevel="0" collapsed="false">
      <c r="A880" s="13" t="s">
        <v>595</v>
      </c>
      <c r="B880" s="13" t="s">
        <v>594</v>
      </c>
      <c r="C880" s="13" t="s">
        <v>1442</v>
      </c>
      <c r="D880" s="13" t="s">
        <v>1469</v>
      </c>
      <c r="E880" s="13" t="s">
        <v>1519</v>
      </c>
      <c r="F880" s="13" t="s">
        <v>1524</v>
      </c>
      <c r="G880" s="61" t="n">
        <v>813302775</v>
      </c>
      <c r="H880" s="13" t="s">
        <v>1435</v>
      </c>
      <c r="I880" s="13" t="s">
        <v>1521</v>
      </c>
      <c r="J880" s="13" t="n">
        <v>77</v>
      </c>
      <c r="K880" s="13" t="s">
        <v>1473</v>
      </c>
      <c r="L880" s="13" t="s">
        <v>1443</v>
      </c>
      <c r="M880" s="13"/>
    </row>
    <row r="881" customFormat="false" ht="15" hidden="false" customHeight="false" outlineLevel="0" collapsed="false">
      <c r="A881" s="13" t="s">
        <v>595</v>
      </c>
      <c r="B881" s="13" t="s">
        <v>594</v>
      </c>
      <c r="C881" s="13" t="s">
        <v>1444</v>
      </c>
      <c r="D881" s="13" t="s">
        <v>1469</v>
      </c>
      <c r="E881" s="13" t="s">
        <v>1519</v>
      </c>
      <c r="F881" s="13" t="s">
        <v>1524</v>
      </c>
      <c r="G881" s="61" t="n">
        <v>1082569357</v>
      </c>
      <c r="H881" s="13" t="s">
        <v>1435</v>
      </c>
      <c r="I881" s="13" t="s">
        <v>1521</v>
      </c>
      <c r="J881" s="13" t="n">
        <v>68</v>
      </c>
      <c r="K881" s="13" t="s">
        <v>1474</v>
      </c>
      <c r="L881" s="13" t="s">
        <v>1443</v>
      </c>
      <c r="M881" s="13"/>
    </row>
    <row r="882" customFormat="false" ht="15" hidden="false" customHeight="false" outlineLevel="0" collapsed="false">
      <c r="A882" s="13" t="s">
        <v>595</v>
      </c>
      <c r="B882" s="13" t="s">
        <v>594</v>
      </c>
      <c r="C882" s="13" t="s">
        <v>1446</v>
      </c>
      <c r="D882" s="13" t="s">
        <v>1469</v>
      </c>
      <c r="E882" s="13" t="s">
        <v>1519</v>
      </c>
      <c r="F882" s="13" t="s">
        <v>1524</v>
      </c>
      <c r="G882" s="61" t="n">
        <v>2749679832</v>
      </c>
      <c r="H882" s="13" t="s">
        <v>1435</v>
      </c>
      <c r="I882" s="13" t="s">
        <v>1521</v>
      </c>
      <c r="J882" s="13" t="n">
        <v>66</v>
      </c>
      <c r="K882" s="13" t="s">
        <v>1475</v>
      </c>
      <c r="L882" s="13" t="s">
        <v>1443</v>
      </c>
      <c r="M882" s="13"/>
    </row>
    <row r="883" customFormat="false" ht="15" hidden="false" customHeight="false" outlineLevel="0" collapsed="false">
      <c r="A883" s="13" t="s">
        <v>595</v>
      </c>
      <c r="B883" s="13" t="s">
        <v>594</v>
      </c>
      <c r="C883" s="13" t="s">
        <v>1448</v>
      </c>
      <c r="D883" s="13" t="s">
        <v>1469</v>
      </c>
      <c r="E883" s="13" t="s">
        <v>1519</v>
      </c>
      <c r="F883" s="13" t="s">
        <v>1524</v>
      </c>
      <c r="G883" s="61" t="n">
        <v>2014157854</v>
      </c>
      <c r="H883" s="13" t="s">
        <v>1435</v>
      </c>
      <c r="I883" s="13" t="s">
        <v>1521</v>
      </c>
      <c r="J883" s="13" t="n">
        <v>77</v>
      </c>
      <c r="K883" s="13" t="s">
        <v>1476</v>
      </c>
      <c r="L883" s="13" t="s">
        <v>1443</v>
      </c>
      <c r="M883" s="13"/>
    </row>
    <row r="884" customFormat="false" ht="15" hidden="false" customHeight="false" outlineLevel="0" collapsed="false">
      <c r="A884" s="13" t="s">
        <v>595</v>
      </c>
      <c r="B884" s="13" t="s">
        <v>594</v>
      </c>
      <c r="C884" s="13" t="s">
        <v>1448</v>
      </c>
      <c r="D884" s="13" t="s">
        <v>1469</v>
      </c>
      <c r="E884" s="13" t="s">
        <v>1519</v>
      </c>
      <c r="F884" s="13" t="s">
        <v>1525</v>
      </c>
      <c r="G884" s="61" t="n">
        <v>1820532404</v>
      </c>
      <c r="H884" s="13" t="s">
        <v>1435</v>
      </c>
      <c r="I884" s="13" t="s">
        <v>1521</v>
      </c>
      <c r="J884" s="13" t="n">
        <v>77</v>
      </c>
      <c r="K884" s="13" t="s">
        <v>1476</v>
      </c>
      <c r="L884" s="13" t="s">
        <v>1443</v>
      </c>
      <c r="M884" s="13"/>
    </row>
    <row r="885" customFormat="false" ht="15" hidden="false" customHeight="false" outlineLevel="0" collapsed="false">
      <c r="A885" s="13" t="s">
        <v>595</v>
      </c>
      <c r="B885" s="13" t="s">
        <v>594</v>
      </c>
      <c r="C885" s="13" t="s">
        <v>1439</v>
      </c>
      <c r="D885" s="13" t="s">
        <v>1469</v>
      </c>
      <c r="E885" s="13" t="s">
        <v>1519</v>
      </c>
      <c r="F885" s="13" t="s">
        <v>1486</v>
      </c>
      <c r="G885" s="61" t="n">
        <v>25838724542</v>
      </c>
      <c r="H885" s="13" t="s">
        <v>1435</v>
      </c>
      <c r="I885" s="13" t="s">
        <v>1521</v>
      </c>
      <c r="J885" s="13" t="n">
        <v>77</v>
      </c>
      <c r="K885" s="13" t="s">
        <v>1473</v>
      </c>
      <c r="L885" s="13" t="s">
        <v>1438</v>
      </c>
      <c r="M885" s="13"/>
    </row>
    <row r="886" customFormat="false" ht="15" hidden="false" customHeight="false" outlineLevel="0" collapsed="false">
      <c r="A886" s="13" t="s">
        <v>595</v>
      </c>
      <c r="B886" s="13" t="s">
        <v>594</v>
      </c>
      <c r="C886" s="13" t="s">
        <v>1442</v>
      </c>
      <c r="D886" s="13" t="s">
        <v>1469</v>
      </c>
      <c r="E886" s="13" t="s">
        <v>1519</v>
      </c>
      <c r="F886" s="13" t="s">
        <v>1486</v>
      </c>
      <c r="G886" s="61" t="n">
        <v>90146332117</v>
      </c>
      <c r="H886" s="13" t="s">
        <v>1435</v>
      </c>
      <c r="I886" s="13" t="s">
        <v>1521</v>
      </c>
      <c r="J886" s="13" t="n">
        <v>77</v>
      </c>
      <c r="K886" s="13" t="s">
        <v>1473</v>
      </c>
      <c r="L886" s="13" t="s">
        <v>1443</v>
      </c>
      <c r="M886" s="13"/>
    </row>
    <row r="887" customFormat="false" ht="15" hidden="false" customHeight="false" outlineLevel="0" collapsed="false">
      <c r="A887" s="13" t="s">
        <v>595</v>
      </c>
      <c r="B887" s="13" t="s">
        <v>594</v>
      </c>
      <c r="C887" s="13" t="s">
        <v>1444</v>
      </c>
      <c r="D887" s="13" t="s">
        <v>1469</v>
      </c>
      <c r="E887" s="13" t="s">
        <v>1519</v>
      </c>
      <c r="F887" s="13" t="s">
        <v>1486</v>
      </c>
      <c r="G887" s="61" t="n">
        <v>76857656488</v>
      </c>
      <c r="H887" s="13" t="s">
        <v>1435</v>
      </c>
      <c r="I887" s="13" t="s">
        <v>1521</v>
      </c>
      <c r="J887" s="13" t="n">
        <v>68</v>
      </c>
      <c r="K887" s="13" t="s">
        <v>1474</v>
      </c>
      <c r="L887" s="13" t="s">
        <v>1443</v>
      </c>
      <c r="M887" s="13"/>
    </row>
    <row r="888" customFormat="false" ht="15" hidden="false" customHeight="false" outlineLevel="0" collapsed="false">
      <c r="A888" s="13" t="s">
        <v>595</v>
      </c>
      <c r="B888" s="13" t="s">
        <v>594</v>
      </c>
      <c r="C888" s="13" t="s">
        <v>1446</v>
      </c>
      <c r="D888" s="13" t="s">
        <v>1469</v>
      </c>
      <c r="E888" s="13" t="s">
        <v>1519</v>
      </c>
      <c r="F888" s="13" t="s">
        <v>1486</v>
      </c>
      <c r="G888" s="61" t="n">
        <v>77315017008</v>
      </c>
      <c r="H888" s="13" t="s">
        <v>1435</v>
      </c>
      <c r="I888" s="13" t="s">
        <v>1521</v>
      </c>
      <c r="J888" s="13" t="n">
        <v>66</v>
      </c>
      <c r="K888" s="13" t="s">
        <v>1475</v>
      </c>
      <c r="L888" s="13" t="s">
        <v>1443</v>
      </c>
      <c r="M888" s="13"/>
    </row>
    <row r="889" customFormat="false" ht="15" hidden="false" customHeight="false" outlineLevel="0" collapsed="false">
      <c r="A889" s="13" t="s">
        <v>595</v>
      </c>
      <c r="B889" s="13" t="s">
        <v>594</v>
      </c>
      <c r="C889" s="13" t="s">
        <v>1448</v>
      </c>
      <c r="D889" s="13" t="s">
        <v>1469</v>
      </c>
      <c r="E889" s="13" t="s">
        <v>1519</v>
      </c>
      <c r="F889" s="13" t="s">
        <v>1486</v>
      </c>
      <c r="G889" s="61" t="n">
        <v>80356964083</v>
      </c>
      <c r="H889" s="13" t="s">
        <v>1435</v>
      </c>
      <c r="I889" s="13" t="s">
        <v>1521</v>
      </c>
      <c r="J889" s="13" t="n">
        <v>77</v>
      </c>
      <c r="K889" s="13" t="s">
        <v>1476</v>
      </c>
      <c r="L889" s="13" t="s">
        <v>1443</v>
      </c>
      <c r="M889" s="13"/>
    </row>
    <row r="890" customFormat="false" ht="15" hidden="false" customHeight="false" outlineLevel="0" collapsed="false">
      <c r="A890" s="13" t="s">
        <v>595</v>
      </c>
      <c r="B890" s="13" t="s">
        <v>594</v>
      </c>
      <c r="C890" s="13" t="s">
        <v>1444</v>
      </c>
      <c r="D890" s="13" t="s">
        <v>1469</v>
      </c>
      <c r="E890" s="13" t="s">
        <v>1526</v>
      </c>
      <c r="F890" s="13" t="s">
        <v>1527</v>
      </c>
      <c r="G890" s="61" t="n">
        <v>120000000</v>
      </c>
      <c r="H890" s="13" t="s">
        <v>1435</v>
      </c>
      <c r="I890" s="13" t="s">
        <v>1528</v>
      </c>
      <c r="J890" s="13" t="n">
        <v>68</v>
      </c>
      <c r="K890" s="13" t="s">
        <v>1474</v>
      </c>
      <c r="L890" s="13" t="s">
        <v>1443</v>
      </c>
      <c r="M890" s="13"/>
    </row>
    <row r="891" customFormat="false" ht="15" hidden="false" customHeight="false" outlineLevel="0" collapsed="false">
      <c r="A891" s="13" t="s">
        <v>595</v>
      </c>
      <c r="B891" s="13" t="s">
        <v>594</v>
      </c>
      <c r="C891" s="13" t="s">
        <v>1446</v>
      </c>
      <c r="D891" s="13" t="s">
        <v>1469</v>
      </c>
      <c r="E891" s="13" t="s">
        <v>1526</v>
      </c>
      <c r="F891" s="13" t="s">
        <v>1527</v>
      </c>
      <c r="G891" s="61" t="n">
        <v>360000000</v>
      </c>
      <c r="H891" s="13" t="s">
        <v>1435</v>
      </c>
      <c r="I891" s="13" t="s">
        <v>1528</v>
      </c>
      <c r="J891" s="13" t="n">
        <v>66</v>
      </c>
      <c r="K891" s="13" t="s">
        <v>1475</v>
      </c>
      <c r="L891" s="13" t="s">
        <v>1443</v>
      </c>
      <c r="M891" s="13"/>
    </row>
    <row r="892" customFormat="false" ht="15" hidden="false" customHeight="false" outlineLevel="0" collapsed="false">
      <c r="A892" s="13" t="s">
        <v>595</v>
      </c>
      <c r="B892" s="13" t="s">
        <v>594</v>
      </c>
      <c r="C892" s="13" t="s">
        <v>1448</v>
      </c>
      <c r="D892" s="13" t="s">
        <v>1469</v>
      </c>
      <c r="E892" s="13" t="s">
        <v>1526</v>
      </c>
      <c r="F892" s="13" t="s">
        <v>1527</v>
      </c>
      <c r="G892" s="61" t="n">
        <v>360000000</v>
      </c>
      <c r="H892" s="13" t="s">
        <v>1435</v>
      </c>
      <c r="I892" s="13" t="s">
        <v>1528</v>
      </c>
      <c r="J892" s="13" t="n">
        <v>77</v>
      </c>
      <c r="K892" s="13" t="s">
        <v>1476</v>
      </c>
      <c r="L892" s="13" t="s">
        <v>1443</v>
      </c>
      <c r="M892" s="13"/>
    </row>
    <row r="893" customFormat="false" ht="15" hidden="false" customHeight="false" outlineLevel="0" collapsed="false">
      <c r="A893" s="13" t="s">
        <v>595</v>
      </c>
      <c r="B893" s="13" t="s">
        <v>594</v>
      </c>
      <c r="C893" s="13" t="s">
        <v>1448</v>
      </c>
      <c r="D893" s="13" t="s">
        <v>1469</v>
      </c>
      <c r="E893" s="13" t="s">
        <v>1526</v>
      </c>
      <c r="F893" s="13" t="s">
        <v>1529</v>
      </c>
      <c r="G893" s="61" t="n">
        <v>49840645</v>
      </c>
      <c r="H893" s="13" t="s">
        <v>1435</v>
      </c>
      <c r="I893" s="13" t="s">
        <v>1528</v>
      </c>
      <c r="J893" s="13" t="n">
        <v>77</v>
      </c>
      <c r="K893" s="13" t="s">
        <v>1476</v>
      </c>
      <c r="L893" s="13" t="s">
        <v>1443</v>
      </c>
      <c r="M893" s="13"/>
    </row>
    <row r="894" customFormat="false" ht="15" hidden="false" customHeight="false" outlineLevel="0" collapsed="false">
      <c r="A894" s="13" t="s">
        <v>595</v>
      </c>
      <c r="B894" s="13" t="s">
        <v>594</v>
      </c>
      <c r="C894" s="13" t="s">
        <v>1446</v>
      </c>
      <c r="D894" s="13" t="s">
        <v>1469</v>
      </c>
      <c r="E894" s="13" t="s">
        <v>1526</v>
      </c>
      <c r="F894" s="13" t="s">
        <v>1530</v>
      </c>
      <c r="G894" s="61" t="n">
        <v>1428319128</v>
      </c>
      <c r="H894" s="13" t="s">
        <v>1435</v>
      </c>
      <c r="I894" s="13" t="s">
        <v>1528</v>
      </c>
      <c r="J894" s="13" t="n">
        <v>66</v>
      </c>
      <c r="K894" s="13" t="s">
        <v>1475</v>
      </c>
      <c r="L894" s="13" t="s">
        <v>1443</v>
      </c>
      <c r="M894" s="13"/>
    </row>
    <row r="895" customFormat="false" ht="15" hidden="false" customHeight="false" outlineLevel="0" collapsed="false">
      <c r="A895" s="13" t="s">
        <v>595</v>
      </c>
      <c r="B895" s="13" t="s">
        <v>594</v>
      </c>
      <c r="C895" s="13" t="s">
        <v>1448</v>
      </c>
      <c r="D895" s="13" t="s">
        <v>1469</v>
      </c>
      <c r="E895" s="13" t="s">
        <v>1526</v>
      </c>
      <c r="F895" s="13" t="s">
        <v>1530</v>
      </c>
      <c r="G895" s="61" t="n">
        <v>2447195552</v>
      </c>
      <c r="H895" s="13" t="s">
        <v>1435</v>
      </c>
      <c r="I895" s="13" t="s">
        <v>1528</v>
      </c>
      <c r="J895" s="13" t="n">
        <v>77</v>
      </c>
      <c r="K895" s="13" t="s">
        <v>1476</v>
      </c>
      <c r="L895" s="13" t="s">
        <v>1443</v>
      </c>
      <c r="M895" s="13"/>
    </row>
    <row r="896" customFormat="false" ht="15" hidden="false" customHeight="false" outlineLevel="0" collapsed="false">
      <c r="A896" s="13" t="s">
        <v>595</v>
      </c>
      <c r="B896" s="13" t="s">
        <v>594</v>
      </c>
      <c r="C896" s="13" t="s">
        <v>1439</v>
      </c>
      <c r="D896" s="13" t="s">
        <v>1469</v>
      </c>
      <c r="E896" s="13" t="s">
        <v>1526</v>
      </c>
      <c r="F896" s="13" t="s">
        <v>1486</v>
      </c>
      <c r="G896" s="61" t="n">
        <v>2465367652</v>
      </c>
      <c r="H896" s="13" t="s">
        <v>1435</v>
      </c>
      <c r="I896" s="13" t="s">
        <v>1528</v>
      </c>
      <c r="J896" s="13" t="n">
        <v>77</v>
      </c>
      <c r="K896" s="13" t="s">
        <v>1473</v>
      </c>
      <c r="L896" s="13" t="s">
        <v>1438</v>
      </c>
      <c r="M896" s="13"/>
    </row>
    <row r="897" customFormat="false" ht="15" hidden="false" customHeight="false" outlineLevel="0" collapsed="false">
      <c r="A897" s="13" t="s">
        <v>595</v>
      </c>
      <c r="B897" s="13" t="s">
        <v>594</v>
      </c>
      <c r="C897" s="13" t="s">
        <v>1442</v>
      </c>
      <c r="D897" s="13" t="s">
        <v>1469</v>
      </c>
      <c r="E897" s="13" t="s">
        <v>1526</v>
      </c>
      <c r="F897" s="13" t="s">
        <v>1486</v>
      </c>
      <c r="G897" s="61" t="n">
        <v>25636825732</v>
      </c>
      <c r="H897" s="13" t="s">
        <v>1435</v>
      </c>
      <c r="I897" s="13" t="s">
        <v>1528</v>
      </c>
      <c r="J897" s="13" t="n">
        <v>77</v>
      </c>
      <c r="K897" s="13" t="s">
        <v>1473</v>
      </c>
      <c r="L897" s="13" t="s">
        <v>1443</v>
      </c>
      <c r="M897" s="13"/>
    </row>
    <row r="898" customFormat="false" ht="15" hidden="false" customHeight="false" outlineLevel="0" collapsed="false">
      <c r="A898" s="13" t="s">
        <v>595</v>
      </c>
      <c r="B898" s="13" t="s">
        <v>594</v>
      </c>
      <c r="C898" s="13" t="s">
        <v>1444</v>
      </c>
      <c r="D898" s="13" t="s">
        <v>1469</v>
      </c>
      <c r="E898" s="13" t="s">
        <v>1526</v>
      </c>
      <c r="F898" s="13" t="s">
        <v>1486</v>
      </c>
      <c r="G898" s="61" t="n">
        <v>250325287</v>
      </c>
      <c r="H898" s="13" t="s">
        <v>1435</v>
      </c>
      <c r="I898" s="13" t="s">
        <v>1528</v>
      </c>
      <c r="J898" s="13" t="n">
        <v>68</v>
      </c>
      <c r="K898" s="13" t="s">
        <v>1474</v>
      </c>
      <c r="L898" s="13" t="s">
        <v>1443</v>
      </c>
      <c r="M898" s="13"/>
    </row>
    <row r="899" customFormat="false" ht="15" hidden="false" customHeight="false" outlineLevel="0" collapsed="false">
      <c r="A899" s="13" t="s">
        <v>595</v>
      </c>
      <c r="B899" s="13" t="s">
        <v>594</v>
      </c>
      <c r="C899" s="13" t="s">
        <v>1446</v>
      </c>
      <c r="D899" s="13" t="s">
        <v>1469</v>
      </c>
      <c r="E899" s="13" t="s">
        <v>1526</v>
      </c>
      <c r="F899" s="13" t="s">
        <v>1486</v>
      </c>
      <c r="G899" s="61" t="n">
        <v>25235874672</v>
      </c>
      <c r="H899" s="13" t="s">
        <v>1435</v>
      </c>
      <c r="I899" s="13" t="s">
        <v>1528</v>
      </c>
      <c r="J899" s="13" t="n">
        <v>66</v>
      </c>
      <c r="K899" s="13" t="s">
        <v>1475</v>
      </c>
      <c r="L899" s="13" t="s">
        <v>1443</v>
      </c>
      <c r="M899" s="13"/>
    </row>
    <row r="900" customFormat="false" ht="15" hidden="false" customHeight="false" outlineLevel="0" collapsed="false">
      <c r="A900" s="13" t="s">
        <v>595</v>
      </c>
      <c r="B900" s="13" t="s">
        <v>594</v>
      </c>
      <c r="C900" s="13" t="s">
        <v>1448</v>
      </c>
      <c r="D900" s="13" t="s">
        <v>1469</v>
      </c>
      <c r="E900" s="13" t="s">
        <v>1526</v>
      </c>
      <c r="F900" s="13" t="s">
        <v>1486</v>
      </c>
      <c r="G900" s="61" t="n">
        <v>2857036197</v>
      </c>
      <c r="H900" s="13" t="s">
        <v>1435</v>
      </c>
      <c r="I900" s="13" t="s">
        <v>1528</v>
      </c>
      <c r="J900" s="13" t="n">
        <v>77</v>
      </c>
      <c r="K900" s="13" t="s">
        <v>1476</v>
      </c>
      <c r="L900" s="13" t="s">
        <v>1443</v>
      </c>
      <c r="M900" s="13"/>
    </row>
    <row r="901" customFormat="false" ht="15" hidden="false" customHeight="false" outlineLevel="0" collapsed="false">
      <c r="A901" s="13" t="s">
        <v>595</v>
      </c>
      <c r="B901" s="13" t="s">
        <v>594</v>
      </c>
      <c r="C901" s="13" t="s">
        <v>1439</v>
      </c>
      <c r="D901" s="13" t="s">
        <v>1469</v>
      </c>
      <c r="E901" s="13" t="s">
        <v>1531</v>
      </c>
      <c r="F901" s="13" t="s">
        <v>1532</v>
      </c>
      <c r="G901" s="61" t="n">
        <v>6099193871</v>
      </c>
      <c r="H901" s="13" t="s">
        <v>1533</v>
      </c>
      <c r="I901" s="13" t="s">
        <v>110</v>
      </c>
      <c r="J901" s="13" t="n">
        <v>78</v>
      </c>
      <c r="K901" s="13" t="s">
        <v>1473</v>
      </c>
      <c r="L901" s="13" t="s">
        <v>1438</v>
      </c>
      <c r="M901" s="13"/>
    </row>
    <row r="902" customFormat="false" ht="15" hidden="false" customHeight="false" outlineLevel="0" collapsed="false">
      <c r="A902" s="13" t="s">
        <v>595</v>
      </c>
      <c r="B902" s="13" t="s">
        <v>594</v>
      </c>
      <c r="C902" s="13" t="s">
        <v>1442</v>
      </c>
      <c r="D902" s="13" t="s">
        <v>1469</v>
      </c>
      <c r="E902" s="13" t="s">
        <v>1531</v>
      </c>
      <c r="F902" s="13" t="s">
        <v>1532</v>
      </c>
      <c r="G902" s="61" t="n">
        <v>-93543896993</v>
      </c>
      <c r="H902" s="13" t="s">
        <v>1533</v>
      </c>
      <c r="I902" s="13" t="s">
        <v>110</v>
      </c>
      <c r="J902" s="13" t="n">
        <v>78</v>
      </c>
      <c r="K902" s="13" t="s">
        <v>1473</v>
      </c>
      <c r="L902" s="13" t="s">
        <v>1443</v>
      </c>
      <c r="M902" s="13"/>
    </row>
    <row r="903" customFormat="false" ht="15" hidden="false" customHeight="false" outlineLevel="0" collapsed="false">
      <c r="A903" s="13" t="s">
        <v>595</v>
      </c>
      <c r="B903" s="13" t="s">
        <v>594</v>
      </c>
      <c r="C903" s="13" t="s">
        <v>1444</v>
      </c>
      <c r="D903" s="13" t="s">
        <v>1469</v>
      </c>
      <c r="E903" s="13" t="s">
        <v>1531</v>
      </c>
      <c r="F903" s="13" t="s">
        <v>1532</v>
      </c>
      <c r="G903" s="61" t="n">
        <v>-110919788807</v>
      </c>
      <c r="H903" s="13" t="s">
        <v>1533</v>
      </c>
      <c r="I903" s="13" t="s">
        <v>110</v>
      </c>
      <c r="J903" s="13" t="n">
        <v>69</v>
      </c>
      <c r="K903" s="13" t="s">
        <v>1474</v>
      </c>
      <c r="L903" s="13" t="s">
        <v>1443</v>
      </c>
      <c r="M903" s="13"/>
    </row>
    <row r="904" customFormat="false" ht="15" hidden="false" customHeight="false" outlineLevel="0" collapsed="false">
      <c r="A904" s="13" t="s">
        <v>595</v>
      </c>
      <c r="B904" s="13" t="s">
        <v>594</v>
      </c>
      <c r="C904" s="13" t="s">
        <v>1446</v>
      </c>
      <c r="D904" s="13" t="s">
        <v>1469</v>
      </c>
      <c r="E904" s="13" t="s">
        <v>1531</v>
      </c>
      <c r="F904" s="13" t="s">
        <v>1532</v>
      </c>
      <c r="G904" s="61" t="n">
        <v>-80309181321</v>
      </c>
      <c r="H904" s="13" t="s">
        <v>1533</v>
      </c>
      <c r="I904" s="13" t="s">
        <v>110</v>
      </c>
      <c r="J904" s="13" t="n">
        <v>67</v>
      </c>
      <c r="K904" s="13" t="s">
        <v>1475</v>
      </c>
      <c r="L904" s="13" t="s">
        <v>1443</v>
      </c>
      <c r="M904" s="13"/>
    </row>
    <row r="905" customFormat="false" ht="15" hidden="false" customHeight="false" outlineLevel="0" collapsed="false">
      <c r="A905" s="13" t="s">
        <v>595</v>
      </c>
      <c r="B905" s="13" t="s">
        <v>594</v>
      </c>
      <c r="C905" s="13" t="s">
        <v>1448</v>
      </c>
      <c r="D905" s="13" t="s">
        <v>1469</v>
      </c>
      <c r="E905" s="13" t="s">
        <v>1531</v>
      </c>
      <c r="F905" s="13" t="s">
        <v>1532</v>
      </c>
      <c r="G905" s="61" t="n">
        <v>4952718308</v>
      </c>
      <c r="H905" s="13" t="s">
        <v>1533</v>
      </c>
      <c r="I905" s="13" t="s">
        <v>110</v>
      </c>
      <c r="J905" s="13" t="n">
        <v>78</v>
      </c>
      <c r="K905" s="13" t="s">
        <v>1476</v>
      </c>
      <c r="L905" s="13" t="s">
        <v>1443</v>
      </c>
      <c r="M905" s="13"/>
    </row>
    <row r="906" customFormat="false" ht="15" hidden="false" customHeight="false" outlineLevel="0" collapsed="false">
      <c r="A906" s="13" t="s">
        <v>595</v>
      </c>
      <c r="B906" s="13" t="s">
        <v>594</v>
      </c>
      <c r="C906" s="13" t="s">
        <v>1439</v>
      </c>
      <c r="D906" s="13" t="s">
        <v>1469</v>
      </c>
      <c r="E906" s="13" t="s">
        <v>1531</v>
      </c>
      <c r="F906" s="13" t="s">
        <v>1534</v>
      </c>
      <c r="G906" s="61" t="n">
        <v>33250000000</v>
      </c>
      <c r="H906" s="13" t="s">
        <v>1533</v>
      </c>
      <c r="I906" s="13" t="s">
        <v>110</v>
      </c>
      <c r="J906" s="13" t="n">
        <v>78</v>
      </c>
      <c r="K906" s="13" t="s">
        <v>1473</v>
      </c>
      <c r="L906" s="13" t="s">
        <v>1438</v>
      </c>
      <c r="M906" s="13"/>
    </row>
    <row r="907" customFormat="false" ht="15" hidden="false" customHeight="false" outlineLevel="0" collapsed="false">
      <c r="A907" s="13" t="s">
        <v>595</v>
      </c>
      <c r="B907" s="13" t="s">
        <v>594</v>
      </c>
      <c r="C907" s="13" t="s">
        <v>1442</v>
      </c>
      <c r="D907" s="13" t="s">
        <v>1469</v>
      </c>
      <c r="E907" s="13" t="s">
        <v>1531</v>
      </c>
      <c r="F907" s="13" t="s">
        <v>1534</v>
      </c>
      <c r="G907" s="61" t="n">
        <v>33250000000</v>
      </c>
      <c r="H907" s="13" t="s">
        <v>1533</v>
      </c>
      <c r="I907" s="13" t="s">
        <v>110</v>
      </c>
      <c r="J907" s="13" t="n">
        <v>78</v>
      </c>
      <c r="K907" s="13" t="s">
        <v>1473</v>
      </c>
      <c r="L907" s="13" t="s">
        <v>1443</v>
      </c>
      <c r="M907" s="13"/>
    </row>
    <row r="908" customFormat="false" ht="15" hidden="false" customHeight="false" outlineLevel="0" collapsed="false">
      <c r="A908" s="13" t="s">
        <v>595</v>
      </c>
      <c r="B908" s="13" t="s">
        <v>594</v>
      </c>
      <c r="C908" s="13" t="s">
        <v>1444</v>
      </c>
      <c r="D908" s="13" t="s">
        <v>1469</v>
      </c>
      <c r="E908" s="13" t="s">
        <v>1531</v>
      </c>
      <c r="F908" s="13" t="s">
        <v>1534</v>
      </c>
      <c r="G908" s="61" t="n">
        <v>33250000000</v>
      </c>
      <c r="H908" s="13" t="s">
        <v>1533</v>
      </c>
      <c r="I908" s="13" t="s">
        <v>110</v>
      </c>
      <c r="J908" s="13" t="n">
        <v>69</v>
      </c>
      <c r="K908" s="13" t="s">
        <v>1474</v>
      </c>
      <c r="L908" s="13" t="s">
        <v>1443</v>
      </c>
      <c r="M908" s="13"/>
    </row>
    <row r="909" customFormat="false" ht="15" hidden="false" customHeight="false" outlineLevel="0" collapsed="false">
      <c r="A909" s="13" t="s">
        <v>595</v>
      </c>
      <c r="B909" s="13" t="s">
        <v>594</v>
      </c>
      <c r="C909" s="13" t="s">
        <v>1446</v>
      </c>
      <c r="D909" s="13" t="s">
        <v>1469</v>
      </c>
      <c r="E909" s="13" t="s">
        <v>1531</v>
      </c>
      <c r="F909" s="13" t="s">
        <v>1534</v>
      </c>
      <c r="G909" s="61" t="n">
        <v>33250000000</v>
      </c>
      <c r="H909" s="13" t="s">
        <v>1533</v>
      </c>
      <c r="I909" s="13" t="s">
        <v>110</v>
      </c>
      <c r="J909" s="13" t="n">
        <v>67</v>
      </c>
      <c r="K909" s="13" t="s">
        <v>1475</v>
      </c>
      <c r="L909" s="13" t="s">
        <v>1443</v>
      </c>
      <c r="M909" s="13"/>
    </row>
    <row r="910" customFormat="false" ht="15" hidden="false" customHeight="false" outlineLevel="0" collapsed="false">
      <c r="A910" s="13" t="s">
        <v>595</v>
      </c>
      <c r="B910" s="13" t="s">
        <v>594</v>
      </c>
      <c r="C910" s="13" t="s">
        <v>1448</v>
      </c>
      <c r="D910" s="13" t="s">
        <v>1469</v>
      </c>
      <c r="E910" s="13" t="s">
        <v>1531</v>
      </c>
      <c r="F910" s="13" t="s">
        <v>1534</v>
      </c>
      <c r="G910" s="61" t="n">
        <v>33250000000</v>
      </c>
      <c r="H910" s="13" t="s">
        <v>1533</v>
      </c>
      <c r="I910" s="13" t="s">
        <v>110</v>
      </c>
      <c r="J910" s="13" t="n">
        <v>78</v>
      </c>
      <c r="K910" s="13" t="s">
        <v>1476</v>
      </c>
      <c r="L910" s="13" t="s">
        <v>1443</v>
      </c>
      <c r="M910" s="13"/>
    </row>
    <row r="911" customFormat="false" ht="15" hidden="false" customHeight="false" outlineLevel="0" collapsed="false">
      <c r="A911" s="13" t="s">
        <v>595</v>
      </c>
      <c r="B911" s="13" t="s">
        <v>594</v>
      </c>
      <c r="C911" s="13" t="s">
        <v>1439</v>
      </c>
      <c r="D911" s="13" t="s">
        <v>1469</v>
      </c>
      <c r="E911" s="13" t="s">
        <v>1531</v>
      </c>
      <c r="F911" s="13" t="s">
        <v>1535</v>
      </c>
      <c r="G911" s="109" t="n">
        <v>0.18</v>
      </c>
      <c r="H911" s="13" t="s">
        <v>1533</v>
      </c>
      <c r="I911" s="13" t="s">
        <v>110</v>
      </c>
      <c r="J911" s="13" t="n">
        <v>78</v>
      </c>
      <c r="K911" s="13" t="s">
        <v>1473</v>
      </c>
      <c r="L911" s="13" t="s">
        <v>1438</v>
      </c>
      <c r="M911" s="13"/>
    </row>
    <row r="912" customFormat="false" ht="15" hidden="false" customHeight="false" outlineLevel="0" collapsed="false">
      <c r="A912" s="13" t="s">
        <v>595</v>
      </c>
      <c r="B912" s="13" t="s">
        <v>594</v>
      </c>
      <c r="C912" s="13" t="s">
        <v>1442</v>
      </c>
      <c r="D912" s="13" t="s">
        <v>1469</v>
      </c>
      <c r="E912" s="13" t="s">
        <v>1531</v>
      </c>
      <c r="F912" s="13" t="s">
        <v>1535</v>
      </c>
      <c r="G912" s="109" t="n">
        <v>-2.81</v>
      </c>
      <c r="H912" s="13" t="s">
        <v>1533</v>
      </c>
      <c r="I912" s="13" t="s">
        <v>110</v>
      </c>
      <c r="J912" s="13" t="n">
        <v>78</v>
      </c>
      <c r="K912" s="13" t="s">
        <v>1473</v>
      </c>
      <c r="L912" s="13" t="s">
        <v>1443</v>
      </c>
      <c r="M912" s="13"/>
    </row>
    <row r="913" customFormat="false" ht="15" hidden="false" customHeight="false" outlineLevel="0" collapsed="false">
      <c r="A913" s="13" t="s">
        <v>595</v>
      </c>
      <c r="B913" s="13" t="s">
        <v>594</v>
      </c>
      <c r="C913" s="13" t="s">
        <v>1444</v>
      </c>
      <c r="D913" s="13" t="s">
        <v>1469</v>
      </c>
      <c r="E913" s="13" t="s">
        <v>1531</v>
      </c>
      <c r="F913" s="13" t="s">
        <v>1535</v>
      </c>
      <c r="G913" s="109" t="n">
        <v>-3.34</v>
      </c>
      <c r="H913" s="13" t="s">
        <v>1533</v>
      </c>
      <c r="I913" s="13" t="s">
        <v>110</v>
      </c>
      <c r="J913" s="13" t="n">
        <v>69</v>
      </c>
      <c r="K913" s="13" t="s">
        <v>1474</v>
      </c>
      <c r="L913" s="13" t="s">
        <v>1443</v>
      </c>
      <c r="M913" s="13"/>
    </row>
    <row r="914" customFormat="false" ht="15" hidden="false" customHeight="false" outlineLevel="0" collapsed="false">
      <c r="A914" s="13" t="s">
        <v>595</v>
      </c>
      <c r="B914" s="13" t="s">
        <v>594</v>
      </c>
      <c r="C914" s="13" t="s">
        <v>1446</v>
      </c>
      <c r="D914" s="13" t="s">
        <v>1469</v>
      </c>
      <c r="E914" s="13" t="s">
        <v>1531</v>
      </c>
      <c r="F914" s="13" t="s">
        <v>1535</v>
      </c>
      <c r="G914" s="109" t="n">
        <v>-2.42</v>
      </c>
      <c r="H914" s="13" t="s">
        <v>1533</v>
      </c>
      <c r="I914" s="13" t="s">
        <v>110</v>
      </c>
      <c r="J914" s="13" t="n">
        <v>67</v>
      </c>
      <c r="K914" s="13" t="s">
        <v>1475</v>
      </c>
      <c r="L914" s="13" t="s">
        <v>1443</v>
      </c>
      <c r="M914" s="13"/>
    </row>
    <row r="915" customFormat="false" ht="15" hidden="false" customHeight="false" outlineLevel="0" collapsed="false">
      <c r="A915" s="13" t="s">
        <v>595</v>
      </c>
      <c r="B915" s="13" t="s">
        <v>594</v>
      </c>
      <c r="C915" s="13" t="s">
        <v>1448</v>
      </c>
      <c r="D915" s="13" t="s">
        <v>1469</v>
      </c>
      <c r="E915" s="13" t="s">
        <v>1531</v>
      </c>
      <c r="F915" s="13" t="s">
        <v>1535</v>
      </c>
      <c r="G915" s="109" t="n">
        <v>0.15</v>
      </c>
      <c r="H915" s="13" t="s">
        <v>1533</v>
      </c>
      <c r="I915" s="13" t="s">
        <v>110</v>
      </c>
      <c r="J915" s="13" t="n">
        <v>78</v>
      </c>
      <c r="K915" s="13" t="s">
        <v>1476</v>
      </c>
      <c r="L915" s="13" t="s">
        <v>1443</v>
      </c>
      <c r="M915" s="13"/>
    </row>
    <row r="916" customFormat="false" ht="15" hidden="false" customHeight="false" outlineLevel="0" collapsed="false">
      <c r="A916" s="13" t="s">
        <v>595</v>
      </c>
      <c r="B916" s="13" t="s">
        <v>594</v>
      </c>
      <c r="C916" s="13" t="s">
        <v>1439</v>
      </c>
      <c r="D916" s="13" t="s">
        <v>1469</v>
      </c>
      <c r="E916" s="13" t="s">
        <v>1496</v>
      </c>
      <c r="F916" s="13" t="s">
        <v>1536</v>
      </c>
      <c r="G916" s="61" t="n">
        <v>262662138</v>
      </c>
      <c r="H916" s="13" t="s">
        <v>1435</v>
      </c>
      <c r="I916" s="13" t="s">
        <v>1498</v>
      </c>
      <c r="J916" s="13" t="n">
        <v>77</v>
      </c>
      <c r="K916" s="13" t="s">
        <v>1473</v>
      </c>
      <c r="L916" s="13" t="s">
        <v>1438</v>
      </c>
      <c r="M916" s="13"/>
    </row>
    <row r="917" customFormat="false" ht="15" hidden="false" customHeight="false" outlineLevel="0" collapsed="false">
      <c r="A917" s="13" t="s">
        <v>595</v>
      </c>
      <c r="B917" s="13" t="s">
        <v>594</v>
      </c>
      <c r="C917" s="13" t="s">
        <v>1442</v>
      </c>
      <c r="D917" s="13" t="s">
        <v>1469</v>
      </c>
      <c r="E917" s="13" t="s">
        <v>1496</v>
      </c>
      <c r="F917" s="13" t="s">
        <v>1536</v>
      </c>
      <c r="G917" s="61" t="n">
        <v>289257091</v>
      </c>
      <c r="H917" s="13" t="s">
        <v>1435</v>
      </c>
      <c r="I917" s="13" t="s">
        <v>1498</v>
      </c>
      <c r="J917" s="13" t="n">
        <v>77</v>
      </c>
      <c r="K917" s="13" t="s">
        <v>1473</v>
      </c>
      <c r="L917" s="13" t="s">
        <v>1443</v>
      </c>
      <c r="M917" s="13"/>
    </row>
    <row r="918" customFormat="false" ht="15" hidden="false" customHeight="false" outlineLevel="0" collapsed="false">
      <c r="A918" s="13" t="s">
        <v>595</v>
      </c>
      <c r="B918" s="13" t="s">
        <v>594</v>
      </c>
      <c r="C918" s="13" t="s">
        <v>1444</v>
      </c>
      <c r="D918" s="13" t="s">
        <v>1469</v>
      </c>
      <c r="E918" s="13" t="s">
        <v>1496</v>
      </c>
      <c r="F918" s="13" t="s">
        <v>1536</v>
      </c>
      <c r="G918" s="61" t="n">
        <v>175441235</v>
      </c>
      <c r="H918" s="13" t="s">
        <v>1435</v>
      </c>
      <c r="I918" s="13" t="s">
        <v>1498</v>
      </c>
      <c r="J918" s="13" t="n">
        <v>68</v>
      </c>
      <c r="K918" s="13" t="s">
        <v>1474</v>
      </c>
      <c r="L918" s="13" t="s">
        <v>1443</v>
      </c>
      <c r="M918" s="13"/>
    </row>
    <row r="919" customFormat="false" ht="15" hidden="false" customHeight="false" outlineLevel="0" collapsed="false">
      <c r="A919" s="13" t="s">
        <v>595</v>
      </c>
      <c r="B919" s="13" t="s">
        <v>594</v>
      </c>
      <c r="C919" s="13" t="s">
        <v>1446</v>
      </c>
      <c r="D919" s="13" t="s">
        <v>1469</v>
      </c>
      <c r="E919" s="13" t="s">
        <v>1496</v>
      </c>
      <c r="F919" s="13" t="s">
        <v>1536</v>
      </c>
      <c r="G919" s="61" t="n">
        <v>190942381</v>
      </c>
      <c r="H919" s="13" t="s">
        <v>1435</v>
      </c>
      <c r="I919" s="13" t="s">
        <v>1498</v>
      </c>
      <c r="J919" s="13" t="n">
        <v>66</v>
      </c>
      <c r="K919" s="13" t="s">
        <v>1475</v>
      </c>
      <c r="L919" s="13" t="s">
        <v>1443</v>
      </c>
      <c r="M919" s="13"/>
    </row>
    <row r="920" customFormat="false" ht="15" hidden="false" customHeight="false" outlineLevel="0" collapsed="false">
      <c r="A920" s="13" t="s">
        <v>595</v>
      </c>
      <c r="B920" s="13" t="s">
        <v>594</v>
      </c>
      <c r="C920" s="13" t="s">
        <v>1444</v>
      </c>
      <c r="D920" s="13" t="s">
        <v>1469</v>
      </c>
      <c r="E920" s="13" t="s">
        <v>1526</v>
      </c>
      <c r="F920" s="13" t="s">
        <v>1537</v>
      </c>
      <c r="G920" s="109" t="n">
        <v>0</v>
      </c>
      <c r="H920" s="13" t="s">
        <v>1435</v>
      </c>
      <c r="I920" s="13" t="s">
        <v>1528</v>
      </c>
      <c r="J920" s="13" t="n">
        <v>68</v>
      </c>
      <c r="K920" s="13" t="s">
        <v>1474</v>
      </c>
      <c r="L920" s="13" t="s">
        <v>1443</v>
      </c>
      <c r="M920" s="13"/>
    </row>
    <row r="921" customFormat="false" ht="15" hidden="false" customHeight="false" outlineLevel="0" collapsed="false">
      <c r="A921" s="13" t="s">
        <v>595</v>
      </c>
      <c r="B921" s="13" t="s">
        <v>594</v>
      </c>
      <c r="C921" s="13" t="s">
        <v>1446</v>
      </c>
      <c r="D921" s="13" t="s">
        <v>1469</v>
      </c>
      <c r="E921" s="13" t="s">
        <v>1526</v>
      </c>
      <c r="F921" s="13" t="s">
        <v>1537</v>
      </c>
      <c r="G921" s="61" t="n">
        <v>23447555544</v>
      </c>
      <c r="H921" s="13" t="s">
        <v>1435</v>
      </c>
      <c r="I921" s="13" t="s">
        <v>1528</v>
      </c>
      <c r="J921" s="13" t="n">
        <v>66</v>
      </c>
      <c r="K921" s="13" t="s">
        <v>1475</v>
      </c>
      <c r="L921" s="13" t="s">
        <v>1443</v>
      </c>
      <c r="M921" s="13"/>
    </row>
    <row r="922" customFormat="false" ht="15" hidden="false" customHeight="false" outlineLevel="0" collapsed="false">
      <c r="A922" s="13" t="s">
        <v>595</v>
      </c>
      <c r="B922" s="13" t="s">
        <v>594</v>
      </c>
      <c r="C922" s="13" t="s">
        <v>1444</v>
      </c>
      <c r="D922" s="13" t="s">
        <v>1469</v>
      </c>
      <c r="E922" s="13" t="s">
        <v>1526</v>
      </c>
      <c r="F922" s="13" t="s">
        <v>1538</v>
      </c>
      <c r="G922" s="61" t="n">
        <v>72000000</v>
      </c>
      <c r="H922" s="13" t="s">
        <v>1435</v>
      </c>
      <c r="I922" s="13" t="s">
        <v>1528</v>
      </c>
      <c r="J922" s="13" t="n">
        <v>68</v>
      </c>
      <c r="K922" s="13" t="s">
        <v>1474</v>
      </c>
      <c r="L922" s="13" t="s">
        <v>1443</v>
      </c>
      <c r="M922" s="13"/>
    </row>
    <row r="923" customFormat="false" ht="15" hidden="false" customHeight="false" outlineLevel="0" collapsed="false">
      <c r="A923" s="13" t="s">
        <v>595</v>
      </c>
      <c r="B923" s="13" t="s">
        <v>594</v>
      </c>
      <c r="C923" s="13" t="s">
        <v>1446</v>
      </c>
      <c r="D923" s="13" t="s">
        <v>1469</v>
      </c>
      <c r="E923" s="13" t="s">
        <v>1526</v>
      </c>
      <c r="F923" s="13" t="s">
        <v>1538</v>
      </c>
      <c r="G923" s="109" t="n">
        <v>0</v>
      </c>
      <c r="H923" s="13" t="s">
        <v>1435</v>
      </c>
      <c r="I923" s="13" t="s">
        <v>1528</v>
      </c>
      <c r="J923" s="13" t="n">
        <v>66</v>
      </c>
      <c r="K923" s="13" t="s">
        <v>1475</v>
      </c>
      <c r="L923" s="13" t="s">
        <v>1443</v>
      </c>
      <c r="M923" s="13"/>
    </row>
    <row r="924" customFormat="false" ht="15" hidden="false" customHeight="false" outlineLevel="0" collapsed="false">
      <c r="A924" s="13" t="s">
        <v>595</v>
      </c>
      <c r="B924" s="13" t="s">
        <v>594</v>
      </c>
      <c r="C924" s="13" t="s">
        <v>1439</v>
      </c>
      <c r="D924" s="13" t="s">
        <v>1469</v>
      </c>
      <c r="E924" s="13" t="s">
        <v>1496</v>
      </c>
      <c r="F924" s="13" t="s">
        <v>1539</v>
      </c>
      <c r="G924" s="61" t="n">
        <v>4506984899</v>
      </c>
      <c r="H924" s="13" t="s">
        <v>1435</v>
      </c>
      <c r="I924" s="13" t="s">
        <v>1498</v>
      </c>
      <c r="J924" s="13" t="n">
        <v>77</v>
      </c>
      <c r="K924" s="13" t="s">
        <v>1473</v>
      </c>
      <c r="L924" s="13" t="s">
        <v>1438</v>
      </c>
      <c r="M924" s="13"/>
    </row>
    <row r="925" customFormat="false" ht="15" hidden="false" customHeight="false" outlineLevel="0" collapsed="false">
      <c r="A925" s="13" t="s">
        <v>595</v>
      </c>
      <c r="B925" s="13" t="s">
        <v>594</v>
      </c>
      <c r="C925" s="13" t="s">
        <v>1442</v>
      </c>
      <c r="D925" s="13" t="s">
        <v>1469</v>
      </c>
      <c r="E925" s="13" t="s">
        <v>1496</v>
      </c>
      <c r="F925" s="13" t="s">
        <v>1539</v>
      </c>
      <c r="G925" s="61" t="n">
        <v>5225360381</v>
      </c>
      <c r="H925" s="13" t="s">
        <v>1435</v>
      </c>
      <c r="I925" s="13" t="s">
        <v>1498</v>
      </c>
      <c r="J925" s="13" t="n">
        <v>77</v>
      </c>
      <c r="K925" s="13" t="s">
        <v>1473</v>
      </c>
      <c r="L925" s="13" t="s">
        <v>1443</v>
      </c>
      <c r="M925" s="13"/>
    </row>
    <row r="926" customFormat="false" ht="15" hidden="false" customHeight="false" outlineLevel="0" collapsed="false">
      <c r="A926" s="13" t="s">
        <v>595</v>
      </c>
      <c r="B926" s="13" t="s">
        <v>594</v>
      </c>
      <c r="C926" s="13" t="s">
        <v>1444</v>
      </c>
      <c r="D926" s="13" t="s">
        <v>1469</v>
      </c>
      <c r="E926" s="13" t="s">
        <v>1496</v>
      </c>
      <c r="F926" s="13" t="s">
        <v>1539</v>
      </c>
      <c r="G926" s="61" t="n">
        <v>4017264672</v>
      </c>
      <c r="H926" s="13" t="s">
        <v>1435</v>
      </c>
      <c r="I926" s="13" t="s">
        <v>1498</v>
      </c>
      <c r="J926" s="13" t="n">
        <v>68</v>
      </c>
      <c r="K926" s="13" t="s">
        <v>1474</v>
      </c>
      <c r="L926" s="13" t="s">
        <v>1443</v>
      </c>
      <c r="M926" s="13"/>
    </row>
    <row r="927" customFormat="false" ht="15" hidden="false" customHeight="false" outlineLevel="0" collapsed="false">
      <c r="A927" s="13" t="s">
        <v>595</v>
      </c>
      <c r="B927" s="13" t="s">
        <v>594</v>
      </c>
      <c r="C927" s="13" t="s">
        <v>1439</v>
      </c>
      <c r="D927" s="13" t="s">
        <v>1469</v>
      </c>
      <c r="E927" s="13" t="s">
        <v>1514</v>
      </c>
      <c r="F927" s="13" t="s">
        <v>1540</v>
      </c>
      <c r="G927" s="61" t="n">
        <v>7208219178</v>
      </c>
      <c r="H927" s="13" t="s">
        <v>1435</v>
      </c>
      <c r="I927" s="13" t="s">
        <v>1516</v>
      </c>
      <c r="J927" s="13" t="n">
        <v>77</v>
      </c>
      <c r="K927" s="13" t="s">
        <v>1473</v>
      </c>
      <c r="L927" s="13" t="s">
        <v>1438</v>
      </c>
      <c r="M927" s="13"/>
    </row>
    <row r="928" customFormat="false" ht="15" hidden="false" customHeight="false" outlineLevel="0" collapsed="false">
      <c r="A928" s="13" t="s">
        <v>595</v>
      </c>
      <c r="B928" s="13" t="s">
        <v>594</v>
      </c>
      <c r="C928" s="13" t="s">
        <v>1442</v>
      </c>
      <c r="D928" s="13" t="s">
        <v>1469</v>
      </c>
      <c r="E928" s="13" t="s">
        <v>1514</v>
      </c>
      <c r="F928" s="13" t="s">
        <v>1540</v>
      </c>
      <c r="G928" s="61" t="n">
        <v>22093150685</v>
      </c>
      <c r="H928" s="13" t="s">
        <v>1435</v>
      </c>
      <c r="I928" s="13" t="s">
        <v>1516</v>
      </c>
      <c r="J928" s="13" t="n">
        <v>77</v>
      </c>
      <c r="K928" s="13" t="s">
        <v>1473</v>
      </c>
      <c r="L928" s="13" t="s">
        <v>1443</v>
      </c>
      <c r="M928" s="13"/>
    </row>
    <row r="929" customFormat="false" ht="15" hidden="false" customHeight="false" outlineLevel="0" collapsed="false">
      <c r="A929" s="13" t="s">
        <v>595</v>
      </c>
      <c r="B929" s="13" t="s">
        <v>594</v>
      </c>
      <c r="C929" s="13" t="s">
        <v>1444</v>
      </c>
      <c r="D929" s="13" t="s">
        <v>1469</v>
      </c>
      <c r="E929" s="13" t="s">
        <v>1514</v>
      </c>
      <c r="F929" s="13" t="s">
        <v>1540</v>
      </c>
      <c r="G929" s="109" t="n">
        <v>0</v>
      </c>
      <c r="H929" s="13" t="s">
        <v>1435</v>
      </c>
      <c r="I929" s="13" t="s">
        <v>1516</v>
      </c>
      <c r="J929" s="13" t="n">
        <v>68</v>
      </c>
      <c r="K929" s="13" t="s">
        <v>1474</v>
      </c>
      <c r="L929" s="13" t="s">
        <v>1443</v>
      </c>
      <c r="M929" s="13"/>
    </row>
    <row r="930" customFormat="false" ht="15" hidden="false" customHeight="false" outlineLevel="0" collapsed="false">
      <c r="A930" s="13" t="s">
        <v>595</v>
      </c>
      <c r="B930" s="13" t="s">
        <v>594</v>
      </c>
      <c r="C930" s="13" t="s">
        <v>1439</v>
      </c>
      <c r="D930" s="13" t="s">
        <v>1469</v>
      </c>
      <c r="E930" s="13" t="s">
        <v>1526</v>
      </c>
      <c r="F930" s="13" t="s">
        <v>1541</v>
      </c>
      <c r="G930" s="61" t="n">
        <v>-287416758</v>
      </c>
      <c r="H930" s="13" t="s">
        <v>1435</v>
      </c>
      <c r="I930" s="13" t="s">
        <v>1528</v>
      </c>
      <c r="J930" s="13" t="n">
        <v>77</v>
      </c>
      <c r="K930" s="13" t="s">
        <v>1473</v>
      </c>
      <c r="L930" s="13" t="s">
        <v>1438</v>
      </c>
      <c r="M930" s="13"/>
    </row>
    <row r="931" customFormat="false" ht="15" hidden="false" customHeight="false" outlineLevel="0" collapsed="false">
      <c r="A931" s="13" t="s">
        <v>595</v>
      </c>
      <c r="B931" s="13" t="s">
        <v>594</v>
      </c>
      <c r="C931" s="13" t="s">
        <v>1442</v>
      </c>
      <c r="D931" s="13" t="s">
        <v>1469</v>
      </c>
      <c r="E931" s="13" t="s">
        <v>1526</v>
      </c>
      <c r="F931" s="13" t="s">
        <v>1541</v>
      </c>
      <c r="G931" s="61" t="n">
        <v>240506745</v>
      </c>
      <c r="H931" s="13" t="s">
        <v>1435</v>
      </c>
      <c r="I931" s="13" t="s">
        <v>1528</v>
      </c>
      <c r="J931" s="13" t="n">
        <v>77</v>
      </c>
      <c r="K931" s="13" t="s">
        <v>1473</v>
      </c>
      <c r="L931" s="13" t="s">
        <v>1443</v>
      </c>
      <c r="M931" s="13"/>
    </row>
    <row r="932" customFormat="false" ht="15" hidden="false" customHeight="false" outlineLevel="0" collapsed="false">
      <c r="A932" s="13" t="s">
        <v>595</v>
      </c>
      <c r="B932" s="13" t="s">
        <v>594</v>
      </c>
      <c r="C932" s="13" t="s">
        <v>1444</v>
      </c>
      <c r="D932" s="13" t="s">
        <v>1469</v>
      </c>
      <c r="E932" s="13" t="s">
        <v>1526</v>
      </c>
      <c r="F932" s="13" t="s">
        <v>1541</v>
      </c>
      <c r="G932" s="61" t="n">
        <v>58325287</v>
      </c>
      <c r="H932" s="13" t="s">
        <v>1435</v>
      </c>
      <c r="I932" s="13" t="s">
        <v>1528</v>
      </c>
      <c r="J932" s="13" t="n">
        <v>68</v>
      </c>
      <c r="K932" s="13" t="s">
        <v>1474</v>
      </c>
      <c r="L932" s="13" t="s">
        <v>1443</v>
      </c>
      <c r="M932" s="13"/>
    </row>
    <row r="933" customFormat="false" ht="15" hidden="false" customHeight="false" outlineLevel="0" collapsed="false">
      <c r="A933" s="13" t="s">
        <v>595</v>
      </c>
      <c r="B933" s="13" t="s">
        <v>594</v>
      </c>
      <c r="C933" s="13" t="s">
        <v>1439</v>
      </c>
      <c r="D933" s="13" t="s">
        <v>1469</v>
      </c>
      <c r="E933" s="13" t="s">
        <v>1485</v>
      </c>
      <c r="F933" s="13" t="s">
        <v>1542</v>
      </c>
      <c r="G933" s="61" t="n">
        <v>325729463571</v>
      </c>
      <c r="H933" s="13" t="s">
        <v>1435</v>
      </c>
      <c r="I933" s="13" t="s">
        <v>1472</v>
      </c>
      <c r="J933" s="13" t="n">
        <v>76</v>
      </c>
      <c r="K933" s="13" t="s">
        <v>1473</v>
      </c>
      <c r="L933" s="13" t="s">
        <v>1438</v>
      </c>
      <c r="M933" s="13"/>
    </row>
    <row r="934" customFormat="false" ht="15" hidden="false" customHeight="false" outlineLevel="0" collapsed="false">
      <c r="A934" s="13" t="s">
        <v>595</v>
      </c>
      <c r="B934" s="13" t="s">
        <v>594</v>
      </c>
      <c r="C934" s="13" t="s">
        <v>1442</v>
      </c>
      <c r="D934" s="13" t="s">
        <v>1469</v>
      </c>
      <c r="E934" s="13" t="s">
        <v>1485</v>
      </c>
      <c r="F934" s="13" t="s">
        <v>1542</v>
      </c>
      <c r="G934" s="61" t="n">
        <v>260426191178</v>
      </c>
      <c r="H934" s="13" t="s">
        <v>1435</v>
      </c>
      <c r="I934" s="13" t="s">
        <v>1472</v>
      </c>
      <c r="J934" s="13" t="n">
        <v>76</v>
      </c>
      <c r="K934" s="13" t="s">
        <v>1473</v>
      </c>
      <c r="L934" s="13" t="s">
        <v>1443</v>
      </c>
      <c r="M934" s="13"/>
    </row>
    <row r="935" customFormat="false" ht="15" hidden="false" customHeight="false" outlineLevel="0" collapsed="false">
      <c r="A935" s="13" t="s">
        <v>595</v>
      </c>
      <c r="B935" s="13" t="s">
        <v>594</v>
      </c>
      <c r="C935" s="13" t="s">
        <v>1439</v>
      </c>
      <c r="D935" s="13" t="s">
        <v>1469</v>
      </c>
      <c r="E935" s="13" t="s">
        <v>1485</v>
      </c>
      <c r="F935" s="13" t="s">
        <v>1543</v>
      </c>
      <c r="G935" s="61" t="n">
        <v>-34795107445</v>
      </c>
      <c r="H935" s="13" t="s">
        <v>1435</v>
      </c>
      <c r="I935" s="13" t="s">
        <v>1472</v>
      </c>
      <c r="J935" s="13" t="n">
        <v>76</v>
      </c>
      <c r="K935" s="13" t="s">
        <v>1473</v>
      </c>
      <c r="L935" s="13" t="s">
        <v>1438</v>
      </c>
      <c r="M935" s="13"/>
    </row>
    <row r="936" customFormat="false" ht="15" hidden="false" customHeight="false" outlineLevel="0" collapsed="false">
      <c r="A936" s="13" t="s">
        <v>595</v>
      </c>
      <c r="B936" s="13" t="s">
        <v>594</v>
      </c>
      <c r="C936" s="13" t="s">
        <v>1442</v>
      </c>
      <c r="D936" s="13" t="s">
        <v>1469</v>
      </c>
      <c r="E936" s="13" t="s">
        <v>1485</v>
      </c>
      <c r="F936" s="13" t="s">
        <v>1543</v>
      </c>
      <c r="G936" s="61" t="n">
        <v>-26455466569</v>
      </c>
      <c r="H936" s="13" t="s">
        <v>1435</v>
      </c>
      <c r="I936" s="13" t="s">
        <v>1472</v>
      </c>
      <c r="J936" s="13" t="n">
        <v>76</v>
      </c>
      <c r="K936" s="13" t="s">
        <v>1473</v>
      </c>
      <c r="L936" s="13" t="s">
        <v>1443</v>
      </c>
      <c r="M936" s="13"/>
    </row>
    <row r="937" customFormat="false" ht="15" hidden="false" customHeight="false" outlineLevel="0" collapsed="false">
      <c r="A937" s="13" t="s">
        <v>595</v>
      </c>
      <c r="B937" s="13" t="s">
        <v>594</v>
      </c>
      <c r="C937" s="13" t="s">
        <v>1439</v>
      </c>
      <c r="D937" s="13" t="s">
        <v>1469</v>
      </c>
      <c r="E937" s="13" t="s">
        <v>1487</v>
      </c>
      <c r="F937" s="13" t="s">
        <v>1544</v>
      </c>
      <c r="G937" s="61" t="n">
        <v>53094153182</v>
      </c>
      <c r="H937" s="13" t="s">
        <v>1435</v>
      </c>
      <c r="I937" s="13" t="s">
        <v>1489</v>
      </c>
      <c r="J937" s="13" t="n">
        <v>76</v>
      </c>
      <c r="K937" s="13" t="s">
        <v>1473</v>
      </c>
      <c r="L937" s="13" t="s">
        <v>1438</v>
      </c>
      <c r="M937" s="13"/>
    </row>
    <row r="938" customFormat="false" ht="15" hidden="false" customHeight="false" outlineLevel="0" collapsed="false">
      <c r="A938" s="13" t="s">
        <v>595</v>
      </c>
      <c r="B938" s="13" t="s">
        <v>594</v>
      </c>
      <c r="C938" s="13" t="s">
        <v>1442</v>
      </c>
      <c r="D938" s="13" t="s">
        <v>1469</v>
      </c>
      <c r="E938" s="13" t="s">
        <v>1487</v>
      </c>
      <c r="F938" s="13" t="s">
        <v>1544</v>
      </c>
      <c r="G938" s="61" t="n">
        <v>59635290511</v>
      </c>
      <c r="H938" s="13" t="s">
        <v>1435</v>
      </c>
      <c r="I938" s="13" t="s">
        <v>1489</v>
      </c>
      <c r="J938" s="13" t="n">
        <v>76</v>
      </c>
      <c r="K938" s="13" t="s">
        <v>1473</v>
      </c>
      <c r="L938" s="13" t="s">
        <v>1443</v>
      </c>
      <c r="M938" s="13"/>
    </row>
    <row r="939" customFormat="false" ht="15" hidden="false" customHeight="false" outlineLevel="0" collapsed="false">
      <c r="A939" s="13" t="s">
        <v>595</v>
      </c>
      <c r="B939" s="13" t="s">
        <v>594</v>
      </c>
      <c r="C939" s="13" t="s">
        <v>1439</v>
      </c>
      <c r="D939" s="13" t="s">
        <v>1469</v>
      </c>
      <c r="E939" s="13" t="s">
        <v>1487</v>
      </c>
      <c r="F939" s="13" t="s">
        <v>1506</v>
      </c>
      <c r="G939" s="61" t="n">
        <v>125139592</v>
      </c>
      <c r="H939" s="13" t="s">
        <v>1435</v>
      </c>
      <c r="I939" s="13" t="s">
        <v>1489</v>
      </c>
      <c r="J939" s="13" t="n">
        <v>76</v>
      </c>
      <c r="K939" s="13" t="s">
        <v>1473</v>
      </c>
      <c r="L939" s="13" t="s">
        <v>1438</v>
      </c>
      <c r="M939" s="13"/>
    </row>
    <row r="940" customFormat="false" ht="15" hidden="false" customHeight="false" outlineLevel="0" collapsed="false">
      <c r="A940" s="13" t="s">
        <v>595</v>
      </c>
      <c r="B940" s="13" t="s">
        <v>594</v>
      </c>
      <c r="C940" s="13" t="s">
        <v>1442</v>
      </c>
      <c r="D940" s="13" t="s">
        <v>1469</v>
      </c>
      <c r="E940" s="13" t="s">
        <v>1487</v>
      </c>
      <c r="F940" s="13" t="s">
        <v>1506</v>
      </c>
      <c r="G940" s="61" t="n">
        <v>246526587</v>
      </c>
      <c r="H940" s="13" t="s">
        <v>1435</v>
      </c>
      <c r="I940" s="13" t="s">
        <v>1489</v>
      </c>
      <c r="J940" s="13" t="n">
        <v>76</v>
      </c>
      <c r="K940" s="13" t="s">
        <v>1473</v>
      </c>
      <c r="L940" s="13" t="s">
        <v>1443</v>
      </c>
      <c r="M940" s="13"/>
    </row>
    <row r="941" customFormat="false" ht="15" hidden="false" customHeight="false" outlineLevel="0" collapsed="false">
      <c r="A941" s="13" t="s">
        <v>595</v>
      </c>
      <c r="B941" s="13" t="s">
        <v>594</v>
      </c>
      <c r="C941" s="13" t="s">
        <v>1439</v>
      </c>
      <c r="D941" s="13" t="s">
        <v>1469</v>
      </c>
      <c r="E941" s="13" t="s">
        <v>1487</v>
      </c>
      <c r="F941" s="13" t="s">
        <v>1545</v>
      </c>
      <c r="G941" s="61" t="n">
        <v>710518325</v>
      </c>
      <c r="H941" s="13" t="s">
        <v>1435</v>
      </c>
      <c r="I941" s="13" t="s">
        <v>1489</v>
      </c>
      <c r="J941" s="13" t="n">
        <v>76</v>
      </c>
      <c r="K941" s="13" t="s">
        <v>1473</v>
      </c>
      <c r="L941" s="13" t="s">
        <v>1438</v>
      </c>
      <c r="M941" s="13"/>
    </row>
    <row r="942" customFormat="false" ht="15" hidden="false" customHeight="false" outlineLevel="0" collapsed="false">
      <c r="A942" s="13" t="s">
        <v>595</v>
      </c>
      <c r="B942" s="13" t="s">
        <v>594</v>
      </c>
      <c r="C942" s="13" t="s">
        <v>1442</v>
      </c>
      <c r="D942" s="13" t="s">
        <v>1469</v>
      </c>
      <c r="E942" s="13" t="s">
        <v>1487</v>
      </c>
      <c r="F942" s="13" t="s">
        <v>1545</v>
      </c>
      <c r="G942" s="61" t="n">
        <v>568195381</v>
      </c>
      <c r="H942" s="13" t="s">
        <v>1435</v>
      </c>
      <c r="I942" s="13" t="s">
        <v>1489</v>
      </c>
      <c r="J942" s="13" t="n">
        <v>76</v>
      </c>
      <c r="K942" s="13" t="s">
        <v>1473</v>
      </c>
      <c r="L942" s="13" t="s">
        <v>1443</v>
      </c>
      <c r="M942" s="13"/>
    </row>
    <row r="943" customFormat="false" ht="15" hidden="false" customHeight="false" outlineLevel="0" collapsed="false">
      <c r="A943" s="13" t="s">
        <v>595</v>
      </c>
      <c r="B943" s="13" t="s">
        <v>594</v>
      </c>
      <c r="C943" s="13" t="s">
        <v>1439</v>
      </c>
      <c r="D943" s="13" t="s">
        <v>1469</v>
      </c>
      <c r="E943" s="13" t="s">
        <v>1496</v>
      </c>
      <c r="F943" s="13" t="s">
        <v>1546</v>
      </c>
      <c r="G943" s="61" t="n">
        <v>1305129445</v>
      </c>
      <c r="H943" s="13" t="s">
        <v>1435</v>
      </c>
      <c r="I943" s="13" t="s">
        <v>1498</v>
      </c>
      <c r="J943" s="13" t="n">
        <v>77</v>
      </c>
      <c r="K943" s="13" t="s">
        <v>1473</v>
      </c>
      <c r="L943" s="13" t="s">
        <v>1438</v>
      </c>
      <c r="M943" s="13"/>
    </row>
    <row r="944" customFormat="false" ht="15" hidden="false" customHeight="false" outlineLevel="0" collapsed="false">
      <c r="A944" s="13" t="s">
        <v>595</v>
      </c>
      <c r="B944" s="13" t="s">
        <v>594</v>
      </c>
      <c r="C944" s="13" t="s">
        <v>1442</v>
      </c>
      <c r="D944" s="13" t="s">
        <v>1469</v>
      </c>
      <c r="E944" s="13" t="s">
        <v>1496</v>
      </c>
      <c r="F944" s="13" t="s">
        <v>1546</v>
      </c>
      <c r="G944" s="61" t="n">
        <v>203917972</v>
      </c>
      <c r="H944" s="13" t="s">
        <v>1435</v>
      </c>
      <c r="I944" s="13" t="s">
        <v>1498</v>
      </c>
      <c r="J944" s="13" t="n">
        <v>77</v>
      </c>
      <c r="K944" s="13" t="s">
        <v>1473</v>
      </c>
      <c r="L944" s="13" t="s">
        <v>1443</v>
      </c>
      <c r="M944" s="13"/>
    </row>
    <row r="945" customFormat="false" ht="15" hidden="false" customHeight="false" outlineLevel="0" collapsed="false">
      <c r="A945" s="13" t="s">
        <v>595</v>
      </c>
      <c r="B945" s="13" t="s">
        <v>594</v>
      </c>
      <c r="C945" s="13" t="s">
        <v>1439</v>
      </c>
      <c r="D945" s="13" t="s">
        <v>1469</v>
      </c>
      <c r="E945" s="13" t="s">
        <v>1526</v>
      </c>
      <c r="F945" s="13" t="s">
        <v>1547</v>
      </c>
      <c r="G945" s="109" t="n">
        <v>0</v>
      </c>
      <c r="H945" s="13" t="s">
        <v>1435</v>
      </c>
      <c r="I945" s="13" t="s">
        <v>1528</v>
      </c>
      <c r="J945" s="13" t="n">
        <v>77</v>
      </c>
      <c r="K945" s="13" t="s">
        <v>1473</v>
      </c>
      <c r="L945" s="13" t="s">
        <v>1438</v>
      </c>
      <c r="M945" s="13"/>
    </row>
    <row r="946" customFormat="false" ht="15" hidden="false" customHeight="false" outlineLevel="0" collapsed="false">
      <c r="A946" s="13" t="s">
        <v>595</v>
      </c>
      <c r="B946" s="13" t="s">
        <v>594</v>
      </c>
      <c r="C946" s="13" t="s">
        <v>1442</v>
      </c>
      <c r="D946" s="13" t="s">
        <v>1469</v>
      </c>
      <c r="E946" s="13" t="s">
        <v>1526</v>
      </c>
      <c r="F946" s="13" t="s">
        <v>1547</v>
      </c>
      <c r="G946" s="61" t="n">
        <v>25373975237</v>
      </c>
      <c r="H946" s="13" t="s">
        <v>1435</v>
      </c>
      <c r="I946" s="13" t="s">
        <v>1528</v>
      </c>
      <c r="J946" s="13" t="n">
        <v>77</v>
      </c>
      <c r="K946" s="13" t="s">
        <v>1473</v>
      </c>
      <c r="L946" s="13" t="s">
        <v>1443</v>
      </c>
      <c r="M946" s="13"/>
    </row>
    <row r="947" customFormat="false" ht="15" hidden="false" customHeight="false" outlineLevel="0" collapsed="false">
      <c r="A947" s="13" t="s">
        <v>595</v>
      </c>
      <c r="B947" s="13" t="s">
        <v>594</v>
      </c>
      <c r="C947" s="13" t="s">
        <v>1439</v>
      </c>
      <c r="D947" s="13" t="s">
        <v>1469</v>
      </c>
      <c r="E947" s="13" t="s">
        <v>1526</v>
      </c>
      <c r="F947" s="13" t="s">
        <v>1548</v>
      </c>
      <c r="G947" s="61" t="n">
        <v>76361881</v>
      </c>
      <c r="H947" s="13" t="s">
        <v>1435</v>
      </c>
      <c r="I947" s="13" t="s">
        <v>1528</v>
      </c>
      <c r="J947" s="13" t="n">
        <v>77</v>
      </c>
      <c r="K947" s="13" t="s">
        <v>1473</v>
      </c>
      <c r="L947" s="13" t="s">
        <v>1438</v>
      </c>
      <c r="M947" s="13"/>
    </row>
    <row r="948" customFormat="false" ht="15" hidden="false" customHeight="false" outlineLevel="0" collapsed="false">
      <c r="A948" s="13" t="s">
        <v>595</v>
      </c>
      <c r="B948" s="13" t="s">
        <v>594</v>
      </c>
      <c r="C948" s="13" t="s">
        <v>1442</v>
      </c>
      <c r="D948" s="13" t="s">
        <v>1469</v>
      </c>
      <c r="E948" s="13" t="s">
        <v>1526</v>
      </c>
      <c r="F948" s="13" t="s">
        <v>1548</v>
      </c>
      <c r="G948" s="61" t="n">
        <v>22343750</v>
      </c>
      <c r="H948" s="13" t="s">
        <v>1435</v>
      </c>
      <c r="I948" s="13" t="s">
        <v>1528</v>
      </c>
      <c r="J948" s="13" t="n">
        <v>77</v>
      </c>
      <c r="K948" s="13" t="s">
        <v>1473</v>
      </c>
      <c r="L948" s="13" t="s">
        <v>1443</v>
      </c>
      <c r="M948" s="13"/>
    </row>
    <row r="949" customFormat="false" ht="15" hidden="false" customHeight="false" outlineLevel="0" collapsed="false">
      <c r="A949" s="13" t="s">
        <v>595</v>
      </c>
      <c r="B949" s="13" t="s">
        <v>594</v>
      </c>
      <c r="C949" s="13" t="s">
        <v>1439</v>
      </c>
      <c r="D949" s="13" t="s">
        <v>1469</v>
      </c>
      <c r="E949" s="13" t="s">
        <v>1526</v>
      </c>
      <c r="F949" s="13" t="s">
        <v>1549</v>
      </c>
      <c r="G949" s="61" t="n">
        <v>2676422529</v>
      </c>
      <c r="H949" s="13" t="s">
        <v>1435</v>
      </c>
      <c r="I949" s="13" t="s">
        <v>1528</v>
      </c>
      <c r="J949" s="13" t="n">
        <v>77</v>
      </c>
      <c r="K949" s="13" t="s">
        <v>1473</v>
      </c>
      <c r="L949" s="13" t="s">
        <v>1438</v>
      </c>
      <c r="M949" s="13"/>
    </row>
    <row r="950" customFormat="false" ht="15" hidden="false" customHeight="false" outlineLevel="0" collapsed="false">
      <c r="A950" s="13" t="s">
        <v>595</v>
      </c>
      <c r="B950" s="13" t="s">
        <v>594</v>
      </c>
      <c r="C950" s="13" t="s">
        <v>1442</v>
      </c>
      <c r="D950" s="13" t="s">
        <v>1469</v>
      </c>
      <c r="E950" s="13" t="s">
        <v>1526</v>
      </c>
      <c r="F950" s="13" t="s">
        <v>1549</v>
      </c>
      <c r="G950" s="109" t="n">
        <v>0</v>
      </c>
      <c r="H950" s="13" t="s">
        <v>1435</v>
      </c>
      <c r="I950" s="13" t="s">
        <v>1528</v>
      </c>
      <c r="J950" s="13" t="n">
        <v>77</v>
      </c>
      <c r="K950" s="13" t="s">
        <v>1473</v>
      </c>
      <c r="L950" s="13" t="s">
        <v>1443</v>
      </c>
      <c r="M950" s="13"/>
    </row>
    <row r="951" customFormat="false" ht="15" hidden="false" customHeight="false" outlineLevel="0" collapsed="false">
      <c r="A951" s="13" t="s">
        <v>595</v>
      </c>
      <c r="B951" s="13" t="s">
        <v>594</v>
      </c>
      <c r="C951" s="13" t="s">
        <v>1439</v>
      </c>
      <c r="D951" s="13" t="s">
        <v>1469</v>
      </c>
      <c r="E951" s="13" t="s">
        <v>1550</v>
      </c>
      <c r="F951" s="13" t="s">
        <v>1551</v>
      </c>
      <c r="G951" s="61" t="n">
        <v>65309687948</v>
      </c>
      <c r="H951" s="13" t="s">
        <v>1435</v>
      </c>
      <c r="I951" s="13" t="s">
        <v>1552</v>
      </c>
      <c r="J951" s="13" t="n">
        <v>57</v>
      </c>
      <c r="K951" s="13"/>
      <c r="L951" s="13" t="s">
        <v>1438</v>
      </c>
      <c r="M951" s="13" t="s">
        <v>1553</v>
      </c>
    </row>
    <row r="952" customFormat="false" ht="15" hidden="false" customHeight="false" outlineLevel="0" collapsed="false">
      <c r="A952" s="13" t="s">
        <v>595</v>
      </c>
      <c r="B952" s="13" t="s">
        <v>594</v>
      </c>
      <c r="C952" s="13" t="s">
        <v>1439</v>
      </c>
      <c r="D952" s="13" t="s">
        <v>1469</v>
      </c>
      <c r="E952" s="13" t="s">
        <v>1554</v>
      </c>
      <c r="F952" s="13" t="s">
        <v>1551</v>
      </c>
      <c r="G952" s="61" t="n">
        <v>38788051552</v>
      </c>
      <c r="H952" s="13" t="s">
        <v>1435</v>
      </c>
      <c r="I952" s="13" t="s">
        <v>1552</v>
      </c>
      <c r="J952" s="13" t="n">
        <v>57</v>
      </c>
      <c r="K952" s="13"/>
      <c r="L952" s="13" t="s">
        <v>1438</v>
      </c>
      <c r="M952" s="13" t="s">
        <v>1553</v>
      </c>
    </row>
    <row r="953" customFormat="false" ht="15" hidden="false" customHeight="false" outlineLevel="0" collapsed="false">
      <c r="A953" s="13" t="s">
        <v>595</v>
      </c>
      <c r="B953" s="13" t="s">
        <v>594</v>
      </c>
      <c r="C953" s="13" t="s">
        <v>1439</v>
      </c>
      <c r="D953" s="13" t="s">
        <v>1469</v>
      </c>
      <c r="E953" s="13" t="s">
        <v>1555</v>
      </c>
      <c r="F953" s="13" t="s">
        <v>1551</v>
      </c>
      <c r="G953" s="61" t="n">
        <v>17297314280</v>
      </c>
      <c r="H953" s="13" t="s">
        <v>1435</v>
      </c>
      <c r="I953" s="13" t="s">
        <v>1552</v>
      </c>
      <c r="J953" s="13" t="n">
        <v>57</v>
      </c>
      <c r="K953" s="13"/>
      <c r="L953" s="13" t="s">
        <v>1438</v>
      </c>
      <c r="M953" s="13" t="s">
        <v>1553</v>
      </c>
    </row>
    <row r="954" customFormat="false" ht="15" hidden="false" customHeight="false" outlineLevel="0" collapsed="false">
      <c r="A954" s="13" t="s">
        <v>595</v>
      </c>
      <c r="B954" s="13" t="s">
        <v>594</v>
      </c>
      <c r="C954" s="13" t="s">
        <v>1439</v>
      </c>
      <c r="D954" s="13" t="s">
        <v>1469</v>
      </c>
      <c r="E954" s="13" t="s">
        <v>1556</v>
      </c>
      <c r="F954" s="13" t="s">
        <v>1551</v>
      </c>
      <c r="G954" s="61" t="n">
        <v>-164979952</v>
      </c>
      <c r="H954" s="13" t="s">
        <v>1435</v>
      </c>
      <c r="I954" s="13" t="s">
        <v>1552</v>
      </c>
      <c r="J954" s="13" t="n">
        <v>57</v>
      </c>
      <c r="K954" s="13"/>
      <c r="L954" s="13" t="s">
        <v>1438</v>
      </c>
      <c r="M954" s="13" t="s">
        <v>1553</v>
      </c>
    </row>
    <row r="955" customFormat="false" ht="15" hidden="false" customHeight="false" outlineLevel="0" collapsed="false">
      <c r="A955" s="13" t="s">
        <v>595</v>
      </c>
      <c r="B955" s="13" t="s">
        <v>594</v>
      </c>
      <c r="C955" s="13" t="s">
        <v>1439</v>
      </c>
      <c r="D955" s="13" t="s">
        <v>1469</v>
      </c>
      <c r="E955" s="13" t="s">
        <v>1557</v>
      </c>
      <c r="F955" s="13" t="s">
        <v>1551</v>
      </c>
      <c r="G955" s="109" t="n">
        <v>0</v>
      </c>
      <c r="H955" s="13" t="s">
        <v>1435</v>
      </c>
      <c r="I955" s="13" t="s">
        <v>1552</v>
      </c>
      <c r="J955" s="13" t="n">
        <v>57</v>
      </c>
      <c r="K955" s="13"/>
      <c r="L955" s="13" t="s">
        <v>1438</v>
      </c>
      <c r="M955" s="13" t="s">
        <v>1553</v>
      </c>
    </row>
    <row r="956" customFormat="false" ht="15" hidden="false" customHeight="false" outlineLevel="0" collapsed="false">
      <c r="A956" s="13" t="s">
        <v>595</v>
      </c>
      <c r="B956" s="13" t="s">
        <v>594</v>
      </c>
      <c r="C956" s="13" t="s">
        <v>1439</v>
      </c>
      <c r="D956" s="13" t="s">
        <v>1469</v>
      </c>
      <c r="E956" s="13" t="s">
        <v>1558</v>
      </c>
      <c r="F956" s="13" t="s">
        <v>1551</v>
      </c>
      <c r="G956" s="61" t="n">
        <v>121230073828</v>
      </c>
      <c r="H956" s="13" t="s">
        <v>1435</v>
      </c>
      <c r="I956" s="13" t="s">
        <v>1552</v>
      </c>
      <c r="J956" s="13" t="n">
        <v>57</v>
      </c>
      <c r="K956" s="13"/>
      <c r="L956" s="13" t="s">
        <v>1438</v>
      </c>
      <c r="M956" s="13" t="s">
        <v>1553</v>
      </c>
    </row>
    <row r="957" customFormat="false" ht="15" hidden="false" customHeight="false" outlineLevel="0" collapsed="false">
      <c r="A957" s="13" t="s">
        <v>595</v>
      </c>
      <c r="B957" s="13" t="s">
        <v>594</v>
      </c>
      <c r="C957" s="13" t="s">
        <v>1439</v>
      </c>
      <c r="D957" s="13" t="s">
        <v>1469</v>
      </c>
      <c r="E957" s="13" t="s">
        <v>1559</v>
      </c>
      <c r="F957" s="13" t="s">
        <v>1551</v>
      </c>
      <c r="G957" s="61" t="n">
        <v>2240626968829</v>
      </c>
      <c r="H957" s="13" t="s">
        <v>1435</v>
      </c>
      <c r="I957" s="13" t="s">
        <v>1552</v>
      </c>
      <c r="J957" s="13" t="n">
        <v>57</v>
      </c>
      <c r="K957" s="13"/>
      <c r="L957" s="13" t="s">
        <v>1438</v>
      </c>
      <c r="M957" s="13" t="s">
        <v>1553</v>
      </c>
    </row>
    <row r="958" customFormat="false" ht="15" hidden="false" customHeight="false" outlineLevel="0" collapsed="false">
      <c r="A958" s="13" t="s">
        <v>595</v>
      </c>
      <c r="B958" s="13" t="s">
        <v>594</v>
      </c>
      <c r="C958" s="13" t="s">
        <v>1439</v>
      </c>
      <c r="D958" s="13" t="s">
        <v>1469</v>
      </c>
      <c r="E958" s="13" t="s">
        <v>1560</v>
      </c>
      <c r="F958" s="13" t="s">
        <v>1551</v>
      </c>
      <c r="G958" s="61" t="n">
        <v>700939207168</v>
      </c>
      <c r="H958" s="13" t="s">
        <v>1435</v>
      </c>
      <c r="I958" s="13" t="s">
        <v>1552</v>
      </c>
      <c r="J958" s="13" t="n">
        <v>57</v>
      </c>
      <c r="K958" s="13"/>
      <c r="L958" s="13" t="s">
        <v>1438</v>
      </c>
      <c r="M958" s="13" t="s">
        <v>1553</v>
      </c>
    </row>
    <row r="959" customFormat="false" ht="15" hidden="false" customHeight="false" outlineLevel="0" collapsed="false">
      <c r="A959" s="13" t="s">
        <v>595</v>
      </c>
      <c r="B959" s="13" t="s">
        <v>594</v>
      </c>
      <c r="C959" s="13" t="s">
        <v>1439</v>
      </c>
      <c r="D959" s="13" t="s">
        <v>1469</v>
      </c>
      <c r="E959" s="13" t="s">
        <v>1561</v>
      </c>
      <c r="F959" s="13" t="s">
        <v>1551</v>
      </c>
      <c r="G959" s="61" t="n">
        <v>95695632413</v>
      </c>
      <c r="H959" s="13" t="s">
        <v>1435</v>
      </c>
      <c r="I959" s="13" t="s">
        <v>1552</v>
      </c>
      <c r="J959" s="13" t="n">
        <v>57</v>
      </c>
      <c r="K959" s="13"/>
      <c r="L959" s="13" t="s">
        <v>1438</v>
      </c>
      <c r="M959" s="13" t="s">
        <v>1553</v>
      </c>
    </row>
    <row r="960" customFormat="false" ht="15" hidden="false" customHeight="false" outlineLevel="0" collapsed="false">
      <c r="A960" s="13" t="s">
        <v>595</v>
      </c>
      <c r="B960" s="13" t="s">
        <v>594</v>
      </c>
      <c r="C960" s="13" t="s">
        <v>1439</v>
      </c>
      <c r="D960" s="13" t="s">
        <v>1469</v>
      </c>
      <c r="E960" s="13" t="s">
        <v>1562</v>
      </c>
      <c r="F960" s="13" t="s">
        <v>1551</v>
      </c>
      <c r="G960" s="61" t="n">
        <v>-240726547</v>
      </c>
      <c r="H960" s="13" t="s">
        <v>1435</v>
      </c>
      <c r="I960" s="13" t="s">
        <v>1552</v>
      </c>
      <c r="J960" s="13" t="n">
        <v>57</v>
      </c>
      <c r="K960" s="13"/>
      <c r="L960" s="13" t="s">
        <v>1438</v>
      </c>
      <c r="M960" s="13" t="s">
        <v>1553</v>
      </c>
    </row>
    <row r="961" customFormat="false" ht="15" hidden="false" customHeight="false" outlineLevel="0" collapsed="false">
      <c r="A961" s="13" t="s">
        <v>595</v>
      </c>
      <c r="B961" s="13" t="s">
        <v>594</v>
      </c>
      <c r="C961" s="13" t="s">
        <v>1439</v>
      </c>
      <c r="D961" s="13" t="s">
        <v>1469</v>
      </c>
      <c r="E961" s="13" t="s">
        <v>1563</v>
      </c>
      <c r="F961" s="13" t="s">
        <v>1551</v>
      </c>
      <c r="G961" s="109" t="n">
        <v>0</v>
      </c>
      <c r="H961" s="13" t="s">
        <v>1435</v>
      </c>
      <c r="I961" s="13" t="s">
        <v>1552</v>
      </c>
      <c r="J961" s="13" t="n">
        <v>57</v>
      </c>
      <c r="K961" s="13"/>
      <c r="L961" s="13" t="s">
        <v>1438</v>
      </c>
      <c r="M961" s="13" t="s">
        <v>1553</v>
      </c>
    </row>
    <row r="962" customFormat="false" ht="15" hidden="false" customHeight="false" outlineLevel="0" collapsed="false">
      <c r="A962" s="13" t="s">
        <v>595</v>
      </c>
      <c r="B962" s="13" t="s">
        <v>594</v>
      </c>
      <c r="C962" s="13" t="s">
        <v>1439</v>
      </c>
      <c r="D962" s="13" t="s">
        <v>1469</v>
      </c>
      <c r="E962" s="13" t="s">
        <v>1564</v>
      </c>
      <c r="F962" s="13" t="s">
        <v>1551</v>
      </c>
      <c r="G962" s="61" t="n">
        <v>3037021081863</v>
      </c>
      <c r="H962" s="13" t="s">
        <v>1435</v>
      </c>
      <c r="I962" s="13" t="s">
        <v>1552</v>
      </c>
      <c r="J962" s="13" t="n">
        <v>57</v>
      </c>
      <c r="K962" s="13"/>
      <c r="L962" s="13" t="s">
        <v>1438</v>
      </c>
      <c r="M962" s="13" t="s">
        <v>1553</v>
      </c>
    </row>
    <row r="963" customFormat="false" ht="15" hidden="false" customHeight="false" outlineLevel="0" collapsed="false">
      <c r="A963" s="13" t="s">
        <v>595</v>
      </c>
      <c r="B963" s="13" t="s">
        <v>594</v>
      </c>
      <c r="C963" s="13" t="s">
        <v>1442</v>
      </c>
      <c r="D963" s="13" t="s">
        <v>1469</v>
      </c>
      <c r="E963" s="13" t="s">
        <v>1550</v>
      </c>
      <c r="F963" s="13" t="s">
        <v>1551</v>
      </c>
      <c r="G963" s="61" t="n">
        <v>121230073828</v>
      </c>
      <c r="H963" s="13" t="s">
        <v>1435</v>
      </c>
      <c r="I963" s="13" t="s">
        <v>1552</v>
      </c>
      <c r="J963" s="13" t="n">
        <v>46</v>
      </c>
      <c r="K963" s="13"/>
      <c r="L963" s="13" t="s">
        <v>1443</v>
      </c>
      <c r="M963" s="13" t="s">
        <v>1553</v>
      </c>
    </row>
    <row r="964" customFormat="false" ht="15" hidden="false" customHeight="false" outlineLevel="0" collapsed="false">
      <c r="A964" s="13" t="s">
        <v>595</v>
      </c>
      <c r="B964" s="13" t="s">
        <v>594</v>
      </c>
      <c r="C964" s="13" t="s">
        <v>1442</v>
      </c>
      <c r="D964" s="13" t="s">
        <v>1469</v>
      </c>
      <c r="E964" s="13" t="s">
        <v>1554</v>
      </c>
      <c r="F964" s="13" t="s">
        <v>1551</v>
      </c>
      <c r="G964" s="61" t="n">
        <v>-13751885347</v>
      </c>
      <c r="H964" s="13" t="s">
        <v>1435</v>
      </c>
      <c r="I964" s="13" t="s">
        <v>1552</v>
      </c>
      <c r="J964" s="13" t="n">
        <v>46</v>
      </c>
      <c r="K964" s="13"/>
      <c r="L964" s="13" t="s">
        <v>1443</v>
      </c>
      <c r="M964" s="13" t="s">
        <v>1553</v>
      </c>
    </row>
    <row r="965" customFormat="false" ht="15" hidden="false" customHeight="false" outlineLevel="0" collapsed="false">
      <c r="A965" s="13" t="s">
        <v>595</v>
      </c>
      <c r="B965" s="13" t="s">
        <v>594</v>
      </c>
      <c r="C965" s="13" t="s">
        <v>1442</v>
      </c>
      <c r="D965" s="13" t="s">
        <v>1469</v>
      </c>
      <c r="E965" s="13" t="s">
        <v>1555</v>
      </c>
      <c r="F965" s="13" t="s">
        <v>1551</v>
      </c>
      <c r="G965" s="61" t="n">
        <v>22877629559</v>
      </c>
      <c r="H965" s="13" t="s">
        <v>1435</v>
      </c>
      <c r="I965" s="13" t="s">
        <v>1552</v>
      </c>
      <c r="J965" s="13" t="n">
        <v>46</v>
      </c>
      <c r="K965" s="13"/>
      <c r="L965" s="13" t="s">
        <v>1443</v>
      </c>
      <c r="M965" s="13" t="s">
        <v>1553</v>
      </c>
    </row>
    <row r="966" customFormat="false" ht="15" hidden="false" customHeight="false" outlineLevel="0" collapsed="false">
      <c r="A966" s="13" t="s">
        <v>595</v>
      </c>
      <c r="B966" s="13" t="s">
        <v>594</v>
      </c>
      <c r="C966" s="13" t="s">
        <v>1442</v>
      </c>
      <c r="D966" s="13" t="s">
        <v>1469</v>
      </c>
      <c r="E966" s="13" t="s">
        <v>1556</v>
      </c>
      <c r="F966" s="13" t="s">
        <v>1551</v>
      </c>
      <c r="G966" s="61" t="n">
        <v>-79266083</v>
      </c>
      <c r="H966" s="13" t="s">
        <v>1435</v>
      </c>
      <c r="I966" s="13" t="s">
        <v>1552</v>
      </c>
      <c r="J966" s="13" t="n">
        <v>46</v>
      </c>
      <c r="K966" s="13"/>
      <c r="L966" s="13" t="s">
        <v>1443</v>
      </c>
      <c r="M966" s="13" t="s">
        <v>1553</v>
      </c>
    </row>
    <row r="967" customFormat="false" ht="15" hidden="false" customHeight="false" outlineLevel="0" collapsed="false">
      <c r="A967" s="13" t="s">
        <v>595</v>
      </c>
      <c r="B967" s="13" t="s">
        <v>594</v>
      </c>
      <c r="C967" s="13" t="s">
        <v>1442</v>
      </c>
      <c r="D967" s="13" t="s">
        <v>1469</v>
      </c>
      <c r="E967" s="13" t="s">
        <v>1557</v>
      </c>
      <c r="F967" s="13" t="s">
        <v>1551</v>
      </c>
      <c r="G967" s="109" t="n">
        <v>0</v>
      </c>
      <c r="H967" s="13" t="s">
        <v>1435</v>
      </c>
      <c r="I967" s="13" t="s">
        <v>1552</v>
      </c>
      <c r="J967" s="13" t="n">
        <v>46</v>
      </c>
      <c r="K967" s="13"/>
      <c r="L967" s="13" t="s">
        <v>1443</v>
      </c>
      <c r="M967" s="13" t="s">
        <v>1553</v>
      </c>
    </row>
    <row r="968" customFormat="false" ht="15" hidden="false" customHeight="false" outlineLevel="0" collapsed="false">
      <c r="A968" s="13" t="s">
        <v>595</v>
      </c>
      <c r="B968" s="13" t="s">
        <v>594</v>
      </c>
      <c r="C968" s="13" t="s">
        <v>1442</v>
      </c>
      <c r="D968" s="13" t="s">
        <v>1469</v>
      </c>
      <c r="E968" s="13" t="s">
        <v>1558</v>
      </c>
      <c r="F968" s="13" t="s">
        <v>1551</v>
      </c>
      <c r="G968" s="61" t="n">
        <v>130276551957</v>
      </c>
      <c r="H968" s="13" t="s">
        <v>1435</v>
      </c>
      <c r="I968" s="13" t="s">
        <v>1552</v>
      </c>
      <c r="J968" s="13" t="n">
        <v>46</v>
      </c>
      <c r="K968" s="13"/>
      <c r="L968" s="13" t="s">
        <v>1443</v>
      </c>
      <c r="M968" s="13" t="s">
        <v>1553</v>
      </c>
    </row>
    <row r="969" customFormat="false" ht="15" hidden="false" customHeight="false" outlineLevel="0" collapsed="false">
      <c r="A969" s="13" t="s">
        <v>595</v>
      </c>
      <c r="B969" s="13" t="s">
        <v>594</v>
      </c>
      <c r="C969" s="13" t="s">
        <v>1442</v>
      </c>
      <c r="D969" s="13" t="s">
        <v>1469</v>
      </c>
      <c r="E969" s="13" t="s">
        <v>1559</v>
      </c>
      <c r="F969" s="13" t="s">
        <v>1551</v>
      </c>
      <c r="G969" s="61" t="n">
        <v>3037021081863</v>
      </c>
      <c r="H969" s="13" t="s">
        <v>1435</v>
      </c>
      <c r="I969" s="13" t="s">
        <v>1552</v>
      </c>
      <c r="J969" s="13" t="n">
        <v>46</v>
      </c>
      <c r="K969" s="13"/>
      <c r="L969" s="13" t="s">
        <v>1443</v>
      </c>
      <c r="M969" s="13" t="s">
        <v>1553</v>
      </c>
    </row>
    <row r="970" customFormat="false" ht="15" hidden="false" customHeight="false" outlineLevel="0" collapsed="false">
      <c r="A970" s="13" t="s">
        <v>595</v>
      </c>
      <c r="B970" s="13" t="s">
        <v>594</v>
      </c>
      <c r="C970" s="13" t="s">
        <v>1442</v>
      </c>
      <c r="D970" s="13" t="s">
        <v>1469</v>
      </c>
      <c r="E970" s="13" t="s">
        <v>1560</v>
      </c>
      <c r="F970" s="13" t="s">
        <v>1551</v>
      </c>
      <c r="G970" s="61" t="n">
        <v>377484118288</v>
      </c>
      <c r="H970" s="13" t="s">
        <v>1435</v>
      </c>
      <c r="I970" s="13" t="s">
        <v>1552</v>
      </c>
      <c r="J970" s="13" t="n">
        <v>46</v>
      </c>
      <c r="K970" s="13"/>
      <c r="L970" s="13" t="s">
        <v>1443</v>
      </c>
      <c r="M970" s="13" t="s">
        <v>1553</v>
      </c>
    </row>
    <row r="971" customFormat="false" ht="15" hidden="false" customHeight="false" outlineLevel="0" collapsed="false">
      <c r="A971" s="13" t="s">
        <v>595</v>
      </c>
      <c r="B971" s="13" t="s">
        <v>594</v>
      </c>
      <c r="C971" s="13" t="s">
        <v>1442</v>
      </c>
      <c r="D971" s="13" t="s">
        <v>1469</v>
      </c>
      <c r="E971" s="13" t="s">
        <v>1561</v>
      </c>
      <c r="F971" s="13" t="s">
        <v>1551</v>
      </c>
      <c r="G971" s="61" t="n">
        <v>53237485863</v>
      </c>
      <c r="H971" s="13" t="s">
        <v>1435</v>
      </c>
      <c r="I971" s="13" t="s">
        <v>1552</v>
      </c>
      <c r="J971" s="13" t="n">
        <v>46</v>
      </c>
      <c r="K971" s="13"/>
      <c r="L971" s="13" t="s">
        <v>1443</v>
      </c>
      <c r="M971" s="13" t="s">
        <v>1553</v>
      </c>
    </row>
    <row r="972" customFormat="false" ht="15" hidden="false" customHeight="false" outlineLevel="0" collapsed="false">
      <c r="A972" s="13" t="s">
        <v>595</v>
      </c>
      <c r="B972" s="13" t="s">
        <v>594</v>
      </c>
      <c r="C972" s="13" t="s">
        <v>1442</v>
      </c>
      <c r="D972" s="13" t="s">
        <v>1469</v>
      </c>
      <c r="E972" s="13" t="s">
        <v>1562</v>
      </c>
      <c r="F972" s="13" t="s">
        <v>1551</v>
      </c>
      <c r="G972" s="61" t="n">
        <v>-111922333</v>
      </c>
      <c r="H972" s="13" t="s">
        <v>1435</v>
      </c>
      <c r="I972" s="13" t="s">
        <v>1552</v>
      </c>
      <c r="J972" s="13" t="n">
        <v>46</v>
      </c>
      <c r="K972" s="13"/>
      <c r="L972" s="13" t="s">
        <v>1443</v>
      </c>
      <c r="M972" s="13" t="s">
        <v>1553</v>
      </c>
    </row>
    <row r="973" customFormat="false" ht="15" hidden="false" customHeight="false" outlineLevel="0" collapsed="false">
      <c r="A973" s="13" t="s">
        <v>595</v>
      </c>
      <c r="B973" s="13" t="s">
        <v>594</v>
      </c>
      <c r="C973" s="13" t="s">
        <v>1442</v>
      </c>
      <c r="D973" s="13" t="s">
        <v>1469</v>
      </c>
      <c r="E973" s="13" t="s">
        <v>1563</v>
      </c>
      <c r="F973" s="13" t="s">
        <v>1551</v>
      </c>
      <c r="G973" s="109" t="n">
        <v>0</v>
      </c>
      <c r="H973" s="13" t="s">
        <v>1435</v>
      </c>
      <c r="I973" s="13" t="s">
        <v>1552</v>
      </c>
      <c r="J973" s="13" t="n">
        <v>46</v>
      </c>
      <c r="K973" s="13"/>
      <c r="L973" s="13" t="s">
        <v>1443</v>
      </c>
      <c r="M973" s="13" t="s">
        <v>1553</v>
      </c>
    </row>
    <row r="974" customFormat="false" ht="15" hidden="false" customHeight="false" outlineLevel="0" collapsed="false">
      <c r="A974" s="13" t="s">
        <v>595</v>
      </c>
      <c r="B974" s="13" t="s">
        <v>594</v>
      </c>
      <c r="C974" s="13" t="s">
        <v>1442</v>
      </c>
      <c r="D974" s="13" t="s">
        <v>1469</v>
      </c>
      <c r="E974" s="13" t="s">
        <v>1564</v>
      </c>
      <c r="F974" s="13" t="s">
        <v>1551</v>
      </c>
      <c r="G974" s="61" t="n">
        <v>3467630763681</v>
      </c>
      <c r="H974" s="13" t="s">
        <v>1435</v>
      </c>
      <c r="I974" s="13" t="s">
        <v>1552</v>
      </c>
      <c r="J974" s="13" t="n">
        <v>46</v>
      </c>
      <c r="K974" s="13"/>
      <c r="L974" s="13" t="s">
        <v>1443</v>
      </c>
      <c r="M974" s="13" t="s">
        <v>1553</v>
      </c>
    </row>
    <row r="975" customFormat="false" ht="15" hidden="false" customHeight="false" outlineLevel="0" collapsed="false">
      <c r="A975" s="13" t="s">
        <v>595</v>
      </c>
      <c r="B975" s="13" t="s">
        <v>594</v>
      </c>
      <c r="C975" s="13" t="s">
        <v>1444</v>
      </c>
      <c r="D975" s="13" t="s">
        <v>1469</v>
      </c>
      <c r="E975" s="13" t="s">
        <v>1550</v>
      </c>
      <c r="F975" s="13" t="s">
        <v>1551</v>
      </c>
      <c r="G975" s="61" t="n">
        <v>130276551957</v>
      </c>
      <c r="H975" s="13" t="s">
        <v>1435</v>
      </c>
      <c r="I975" s="13" t="s">
        <v>1552</v>
      </c>
      <c r="J975" s="13" t="n">
        <v>45</v>
      </c>
      <c r="K975" s="13"/>
      <c r="L975" s="13" t="s">
        <v>1443</v>
      </c>
      <c r="M975" s="13" t="s">
        <v>1553</v>
      </c>
    </row>
    <row r="976" customFormat="false" ht="15" hidden="false" customHeight="false" outlineLevel="0" collapsed="false">
      <c r="A976" s="13" t="s">
        <v>595</v>
      </c>
      <c r="B976" s="13" t="s">
        <v>594</v>
      </c>
      <c r="C976" s="13" t="s">
        <v>1444</v>
      </c>
      <c r="D976" s="13" t="s">
        <v>1469</v>
      </c>
      <c r="E976" s="13" t="s">
        <v>1554</v>
      </c>
      <c r="F976" s="13" t="s">
        <v>1551</v>
      </c>
      <c r="G976" s="61" t="n">
        <v>0</v>
      </c>
      <c r="H976" s="13" t="s">
        <v>1435</v>
      </c>
      <c r="I976" s="13" t="s">
        <v>1552</v>
      </c>
      <c r="J976" s="13" t="n">
        <v>45</v>
      </c>
      <c r="K976" s="13"/>
      <c r="L976" s="13" t="s">
        <v>1443</v>
      </c>
      <c r="M976" s="13" t="s">
        <v>1553</v>
      </c>
    </row>
    <row r="977" customFormat="false" ht="15" hidden="false" customHeight="false" outlineLevel="0" collapsed="false">
      <c r="A977" s="13" t="s">
        <v>595</v>
      </c>
      <c r="B977" s="13" t="s">
        <v>594</v>
      </c>
      <c r="C977" s="13" t="s">
        <v>1444</v>
      </c>
      <c r="D977" s="13" t="s">
        <v>1469</v>
      </c>
      <c r="E977" s="13" t="s">
        <v>1555</v>
      </c>
      <c r="F977" s="13" t="s">
        <v>1551</v>
      </c>
      <c r="G977" s="61" t="n">
        <v>21584974350</v>
      </c>
      <c r="H977" s="13" t="s">
        <v>1435</v>
      </c>
      <c r="I977" s="13" t="s">
        <v>1552</v>
      </c>
      <c r="J977" s="13" t="n">
        <v>45</v>
      </c>
      <c r="K977" s="13"/>
      <c r="L977" s="13" t="s">
        <v>1443</v>
      </c>
      <c r="M977" s="13" t="s">
        <v>1553</v>
      </c>
    </row>
    <row r="978" customFormat="false" ht="15" hidden="false" customHeight="false" outlineLevel="0" collapsed="false">
      <c r="A978" s="13" t="s">
        <v>595</v>
      </c>
      <c r="B978" s="13" t="s">
        <v>594</v>
      </c>
      <c r="C978" s="13" t="s">
        <v>1444</v>
      </c>
      <c r="D978" s="13" t="s">
        <v>1469</v>
      </c>
      <c r="E978" s="13" t="s">
        <v>1556</v>
      </c>
      <c r="F978" s="13" t="s">
        <v>1551</v>
      </c>
      <c r="G978" s="61" t="n">
        <v>-232050000</v>
      </c>
      <c r="H978" s="13" t="s">
        <v>1435</v>
      </c>
      <c r="I978" s="13" t="s">
        <v>1552</v>
      </c>
      <c r="J978" s="13" t="n">
        <v>45</v>
      </c>
      <c r="K978" s="13"/>
      <c r="L978" s="13" t="s">
        <v>1443</v>
      </c>
      <c r="M978" s="13" t="s">
        <v>1553</v>
      </c>
    </row>
    <row r="979" customFormat="false" ht="15" hidden="false" customHeight="false" outlineLevel="0" collapsed="false">
      <c r="A979" s="13" t="s">
        <v>595</v>
      </c>
      <c r="B979" s="13" t="s">
        <v>594</v>
      </c>
      <c r="C979" s="13" t="s">
        <v>1444</v>
      </c>
      <c r="D979" s="13" t="s">
        <v>1469</v>
      </c>
      <c r="E979" s="13" t="s">
        <v>1557</v>
      </c>
      <c r="F979" s="13" t="s">
        <v>1551</v>
      </c>
      <c r="G979" s="109" t="n">
        <v>0</v>
      </c>
      <c r="H979" s="13" t="s">
        <v>1435</v>
      </c>
      <c r="I979" s="13" t="s">
        <v>1552</v>
      </c>
      <c r="J979" s="13" t="n">
        <v>45</v>
      </c>
      <c r="K979" s="13"/>
      <c r="L979" s="13" t="s">
        <v>1443</v>
      </c>
      <c r="M979" s="13" t="s">
        <v>1553</v>
      </c>
    </row>
    <row r="980" customFormat="false" ht="15" hidden="false" customHeight="false" outlineLevel="0" collapsed="false">
      <c r="A980" s="13" t="s">
        <v>595</v>
      </c>
      <c r="B980" s="13" t="s">
        <v>594</v>
      </c>
      <c r="C980" s="13" t="s">
        <v>1444</v>
      </c>
      <c r="D980" s="13" t="s">
        <v>1469</v>
      </c>
      <c r="E980" s="13" t="s">
        <v>1558</v>
      </c>
      <c r="F980" s="13" t="s">
        <v>1551</v>
      </c>
      <c r="G980" s="61" t="n">
        <v>151629476307</v>
      </c>
      <c r="H980" s="13" t="s">
        <v>1435</v>
      </c>
      <c r="I980" s="13" t="s">
        <v>1552</v>
      </c>
      <c r="J980" s="13" t="n">
        <v>45</v>
      </c>
      <c r="K980" s="13"/>
      <c r="L980" s="13" t="s">
        <v>1443</v>
      </c>
      <c r="M980" s="13" t="s">
        <v>1553</v>
      </c>
    </row>
    <row r="981" customFormat="false" ht="15" hidden="false" customHeight="false" outlineLevel="0" collapsed="false">
      <c r="A981" s="13" t="s">
        <v>595</v>
      </c>
      <c r="B981" s="13" t="s">
        <v>594</v>
      </c>
      <c r="C981" s="13" t="s">
        <v>1444</v>
      </c>
      <c r="D981" s="13" t="s">
        <v>1469</v>
      </c>
      <c r="E981" s="13" t="s">
        <v>1559</v>
      </c>
      <c r="F981" s="13" t="s">
        <v>1551</v>
      </c>
      <c r="G981" s="61" t="n">
        <v>3467630763681</v>
      </c>
      <c r="H981" s="13" t="s">
        <v>1435</v>
      </c>
      <c r="I981" s="13" t="s">
        <v>1552</v>
      </c>
      <c r="J981" s="13" t="n">
        <v>45</v>
      </c>
      <c r="K981" s="13"/>
      <c r="L981" s="13" t="s">
        <v>1443</v>
      </c>
      <c r="M981" s="13" t="s">
        <v>1553</v>
      </c>
    </row>
    <row r="982" customFormat="false" ht="15" hidden="false" customHeight="false" outlineLevel="0" collapsed="false">
      <c r="A982" s="13" t="s">
        <v>595</v>
      </c>
      <c r="B982" s="13" t="s">
        <v>594</v>
      </c>
      <c r="C982" s="13" t="s">
        <v>1444</v>
      </c>
      <c r="D982" s="13" t="s">
        <v>1469</v>
      </c>
      <c r="E982" s="13" t="s">
        <v>1560</v>
      </c>
      <c r="F982" s="13" t="s">
        <v>1551</v>
      </c>
      <c r="G982" s="61" t="n">
        <v>0</v>
      </c>
      <c r="H982" s="13" t="s">
        <v>1435</v>
      </c>
      <c r="I982" s="13" t="s">
        <v>1552</v>
      </c>
      <c r="J982" s="13" t="n">
        <v>45</v>
      </c>
      <c r="K982" s="13"/>
      <c r="L982" s="13" t="s">
        <v>1443</v>
      </c>
      <c r="M982" s="13" t="s">
        <v>1553</v>
      </c>
    </row>
    <row r="983" customFormat="false" ht="15" hidden="false" customHeight="false" outlineLevel="0" collapsed="false">
      <c r="A983" s="13" t="s">
        <v>595</v>
      </c>
      <c r="B983" s="13" t="s">
        <v>594</v>
      </c>
      <c r="C983" s="13" t="s">
        <v>1444</v>
      </c>
      <c r="D983" s="13" t="s">
        <v>1469</v>
      </c>
      <c r="E983" s="13" t="s">
        <v>1561</v>
      </c>
      <c r="F983" s="13" t="s">
        <v>1551</v>
      </c>
      <c r="G983" s="61" t="n">
        <v>14630376744</v>
      </c>
      <c r="H983" s="13" t="s">
        <v>1435</v>
      </c>
      <c r="I983" s="13" t="s">
        <v>1552</v>
      </c>
      <c r="J983" s="13" t="n">
        <v>45</v>
      </c>
      <c r="K983" s="13"/>
      <c r="L983" s="13" t="s">
        <v>1443</v>
      </c>
      <c r="M983" s="13" t="s">
        <v>1553</v>
      </c>
    </row>
    <row r="984" customFormat="false" ht="15" hidden="false" customHeight="false" outlineLevel="0" collapsed="false">
      <c r="A984" s="13" t="s">
        <v>595</v>
      </c>
      <c r="B984" s="13" t="s">
        <v>594</v>
      </c>
      <c r="C984" s="13" t="s">
        <v>1444</v>
      </c>
      <c r="D984" s="13" t="s">
        <v>1469</v>
      </c>
      <c r="E984" s="13" t="s">
        <v>1562</v>
      </c>
      <c r="F984" s="13" t="s">
        <v>1551</v>
      </c>
      <c r="G984" s="61" t="n">
        <v>-232050000</v>
      </c>
      <c r="H984" s="13" t="s">
        <v>1435</v>
      </c>
      <c r="I984" s="13" t="s">
        <v>1552</v>
      </c>
      <c r="J984" s="13" t="n">
        <v>45</v>
      </c>
      <c r="K984" s="13"/>
      <c r="L984" s="13" t="s">
        <v>1443</v>
      </c>
      <c r="M984" s="13" t="s">
        <v>1553</v>
      </c>
    </row>
    <row r="985" customFormat="false" ht="15" hidden="false" customHeight="false" outlineLevel="0" collapsed="false">
      <c r="A985" s="13" t="s">
        <v>595</v>
      </c>
      <c r="B985" s="13" t="s">
        <v>594</v>
      </c>
      <c r="C985" s="13" t="s">
        <v>1444</v>
      </c>
      <c r="D985" s="13" t="s">
        <v>1469</v>
      </c>
      <c r="E985" s="13" t="s">
        <v>1563</v>
      </c>
      <c r="F985" s="13" t="s">
        <v>1551</v>
      </c>
      <c r="G985" s="109" t="n">
        <v>0</v>
      </c>
      <c r="H985" s="13" t="s">
        <v>1435</v>
      </c>
      <c r="I985" s="13" t="s">
        <v>1552</v>
      </c>
      <c r="J985" s="13" t="n">
        <v>45</v>
      </c>
      <c r="K985" s="13"/>
      <c r="L985" s="13" t="s">
        <v>1443</v>
      </c>
      <c r="M985" s="13" t="s">
        <v>1553</v>
      </c>
    </row>
    <row r="986" customFormat="false" ht="15" hidden="false" customHeight="false" outlineLevel="0" collapsed="false">
      <c r="A986" s="13" t="s">
        <v>595</v>
      </c>
      <c r="B986" s="13" t="s">
        <v>594</v>
      </c>
      <c r="C986" s="13" t="s">
        <v>1444</v>
      </c>
      <c r="D986" s="13" t="s">
        <v>1469</v>
      </c>
      <c r="E986" s="13" t="s">
        <v>1564</v>
      </c>
      <c r="F986" s="13" t="s">
        <v>1551</v>
      </c>
      <c r="G986" s="61" t="n">
        <v>3482029090425</v>
      </c>
      <c r="H986" s="13" t="s">
        <v>1435</v>
      </c>
      <c r="I986" s="13" t="s">
        <v>1552</v>
      </c>
      <c r="J986" s="13" t="n">
        <v>45</v>
      </c>
      <c r="K986" s="13"/>
      <c r="L986" s="13" t="s">
        <v>1443</v>
      </c>
      <c r="M986" s="13" t="s">
        <v>1553</v>
      </c>
    </row>
    <row r="987" customFormat="false" ht="15" hidden="false" customHeight="false" outlineLevel="0" collapsed="false">
      <c r="A987" s="13" t="s">
        <v>595</v>
      </c>
      <c r="B987" s="13" t="s">
        <v>594</v>
      </c>
      <c r="C987" s="13" t="s">
        <v>1446</v>
      </c>
      <c r="D987" s="13" t="s">
        <v>1469</v>
      </c>
      <c r="E987" s="13" t="s">
        <v>1550</v>
      </c>
      <c r="F987" s="13" t="s">
        <v>1551</v>
      </c>
      <c r="G987" s="61" t="n">
        <v>151629476307</v>
      </c>
      <c r="H987" s="13" t="s">
        <v>1435</v>
      </c>
      <c r="I987" s="13" t="s">
        <v>1552</v>
      </c>
      <c r="J987" s="13" t="n">
        <v>50</v>
      </c>
      <c r="K987" s="13"/>
      <c r="L987" s="13" t="s">
        <v>1443</v>
      </c>
      <c r="M987" s="13" t="s">
        <v>1553</v>
      </c>
    </row>
    <row r="988" customFormat="false" ht="15" hidden="false" customHeight="false" outlineLevel="0" collapsed="false">
      <c r="A988" s="13" t="s">
        <v>595</v>
      </c>
      <c r="B988" s="13" t="s">
        <v>594</v>
      </c>
      <c r="C988" s="13" t="s">
        <v>1446</v>
      </c>
      <c r="D988" s="13" t="s">
        <v>1469</v>
      </c>
      <c r="E988" s="13" t="s">
        <v>1554</v>
      </c>
      <c r="F988" s="13" t="s">
        <v>1551</v>
      </c>
      <c r="G988" s="61" t="n">
        <v>-1833621502</v>
      </c>
      <c r="H988" s="13" t="s">
        <v>1435</v>
      </c>
      <c r="I988" s="13" t="s">
        <v>1552</v>
      </c>
      <c r="J988" s="13" t="n">
        <v>50</v>
      </c>
      <c r="K988" s="13"/>
      <c r="L988" s="13" t="s">
        <v>1443</v>
      </c>
      <c r="M988" s="13" t="s">
        <v>1553</v>
      </c>
    </row>
    <row r="989" customFormat="false" ht="15" hidden="false" customHeight="false" outlineLevel="0" collapsed="false">
      <c r="A989" s="13" t="s">
        <v>595</v>
      </c>
      <c r="B989" s="13" t="s">
        <v>594</v>
      </c>
      <c r="C989" s="13" t="s">
        <v>1446</v>
      </c>
      <c r="D989" s="13" t="s">
        <v>1469</v>
      </c>
      <c r="E989" s="13" t="s">
        <v>1555</v>
      </c>
      <c r="F989" s="13" t="s">
        <v>1551</v>
      </c>
      <c r="G989" s="61" t="n">
        <v>25515756073</v>
      </c>
      <c r="H989" s="13" t="s">
        <v>1435</v>
      </c>
      <c r="I989" s="13" t="s">
        <v>1552</v>
      </c>
      <c r="J989" s="13" t="n">
        <v>50</v>
      </c>
      <c r="K989" s="13"/>
      <c r="L989" s="13" t="s">
        <v>1443</v>
      </c>
      <c r="M989" s="13" t="s">
        <v>1553</v>
      </c>
    </row>
    <row r="990" customFormat="false" ht="15" hidden="false" customHeight="false" outlineLevel="0" collapsed="false">
      <c r="A990" s="13" t="s">
        <v>595</v>
      </c>
      <c r="B990" s="13" t="s">
        <v>594</v>
      </c>
      <c r="C990" s="13" t="s">
        <v>1446</v>
      </c>
      <c r="D990" s="13" t="s">
        <v>1469</v>
      </c>
      <c r="E990" s="13" t="s">
        <v>1556</v>
      </c>
      <c r="F990" s="13" t="s">
        <v>1551</v>
      </c>
      <c r="G990" s="61" t="n">
        <v>-521215000</v>
      </c>
      <c r="H990" s="13" t="s">
        <v>1435</v>
      </c>
      <c r="I990" s="13" t="s">
        <v>1552</v>
      </c>
      <c r="J990" s="13" t="n">
        <v>50</v>
      </c>
      <c r="K990" s="13"/>
      <c r="L990" s="13" t="s">
        <v>1443</v>
      </c>
      <c r="M990" s="13" t="s">
        <v>1553</v>
      </c>
    </row>
    <row r="991" customFormat="false" ht="15" hidden="false" customHeight="false" outlineLevel="0" collapsed="false">
      <c r="A991" s="13" t="s">
        <v>595</v>
      </c>
      <c r="B991" s="13" t="s">
        <v>594</v>
      </c>
      <c r="C991" s="13" t="s">
        <v>1446</v>
      </c>
      <c r="D991" s="13" t="s">
        <v>1469</v>
      </c>
      <c r="E991" s="13" t="s">
        <v>1557</v>
      </c>
      <c r="F991" s="13" t="s">
        <v>1551</v>
      </c>
      <c r="G991" s="109" t="n">
        <v>0</v>
      </c>
      <c r="H991" s="13" t="s">
        <v>1435</v>
      </c>
      <c r="I991" s="13" t="s">
        <v>1552</v>
      </c>
      <c r="J991" s="13" t="n">
        <v>50</v>
      </c>
      <c r="K991" s="13"/>
      <c r="L991" s="13" t="s">
        <v>1443</v>
      </c>
      <c r="M991" s="13" t="s">
        <v>1553</v>
      </c>
    </row>
    <row r="992" customFormat="false" ht="15" hidden="false" customHeight="false" outlineLevel="0" collapsed="false">
      <c r="A992" s="13" t="s">
        <v>595</v>
      </c>
      <c r="B992" s="13" t="s">
        <v>594</v>
      </c>
      <c r="C992" s="13" t="s">
        <v>1446</v>
      </c>
      <c r="D992" s="13" t="s">
        <v>1469</v>
      </c>
      <c r="E992" s="13" t="s">
        <v>1558</v>
      </c>
      <c r="F992" s="13" t="s">
        <v>1551</v>
      </c>
      <c r="G992" s="61" t="n">
        <v>174790395878</v>
      </c>
      <c r="H992" s="13" t="s">
        <v>1435</v>
      </c>
      <c r="I992" s="13" t="s">
        <v>1552</v>
      </c>
      <c r="J992" s="13" t="n">
        <v>50</v>
      </c>
      <c r="K992" s="13"/>
      <c r="L992" s="13" t="s">
        <v>1443</v>
      </c>
      <c r="M992" s="13" t="s">
        <v>1553</v>
      </c>
    </row>
    <row r="993" customFormat="false" ht="15" hidden="false" customHeight="false" outlineLevel="0" collapsed="false">
      <c r="A993" s="13" t="s">
        <v>595</v>
      </c>
      <c r="B993" s="13" t="s">
        <v>594</v>
      </c>
      <c r="C993" s="13" t="s">
        <v>1446</v>
      </c>
      <c r="D993" s="13" t="s">
        <v>1469</v>
      </c>
      <c r="E993" s="13" t="s">
        <v>1559</v>
      </c>
      <c r="F993" s="13" t="s">
        <v>1551</v>
      </c>
      <c r="G993" s="61" t="n">
        <v>3482029090425</v>
      </c>
      <c r="H993" s="13" t="s">
        <v>1435</v>
      </c>
      <c r="I993" s="13" t="s">
        <v>1552</v>
      </c>
      <c r="J993" s="13" t="n">
        <v>50</v>
      </c>
      <c r="K993" s="13"/>
      <c r="L993" s="13" t="s">
        <v>1443</v>
      </c>
      <c r="M993" s="13" t="s">
        <v>1553</v>
      </c>
    </row>
    <row r="994" customFormat="false" ht="15" hidden="false" customHeight="false" outlineLevel="0" collapsed="false">
      <c r="A994" s="13" t="s">
        <v>595</v>
      </c>
      <c r="B994" s="13" t="s">
        <v>594</v>
      </c>
      <c r="C994" s="13" t="s">
        <v>1446</v>
      </c>
      <c r="D994" s="13" t="s">
        <v>1469</v>
      </c>
      <c r="E994" s="13" t="s">
        <v>1560</v>
      </c>
      <c r="F994" s="13" t="s">
        <v>1551</v>
      </c>
      <c r="G994" s="61" t="n">
        <v>-60970485090</v>
      </c>
      <c r="H994" s="13" t="s">
        <v>1435</v>
      </c>
      <c r="I994" s="13" t="s">
        <v>1552</v>
      </c>
      <c r="J994" s="13" t="n">
        <v>50</v>
      </c>
      <c r="K994" s="13"/>
      <c r="L994" s="13" t="s">
        <v>1443</v>
      </c>
      <c r="M994" s="13" t="s">
        <v>1553</v>
      </c>
    </row>
    <row r="995" customFormat="false" ht="15" hidden="false" customHeight="false" outlineLevel="0" collapsed="false">
      <c r="A995" s="13" t="s">
        <v>595</v>
      </c>
      <c r="B995" s="13" t="s">
        <v>594</v>
      </c>
      <c r="C995" s="13" t="s">
        <v>1446</v>
      </c>
      <c r="D995" s="13" t="s">
        <v>1469</v>
      </c>
      <c r="E995" s="13" t="s">
        <v>1561</v>
      </c>
      <c r="F995" s="13" t="s">
        <v>1551</v>
      </c>
      <c r="G995" s="61" t="n">
        <v>11678249547</v>
      </c>
      <c r="H995" s="13" t="s">
        <v>1435</v>
      </c>
      <c r="I995" s="13" t="s">
        <v>1552</v>
      </c>
      <c r="J995" s="13" t="n">
        <v>50</v>
      </c>
      <c r="K995" s="13"/>
      <c r="L995" s="13" t="s">
        <v>1443</v>
      </c>
      <c r="M995" s="13" t="s">
        <v>1553</v>
      </c>
    </row>
    <row r="996" customFormat="false" ht="15" hidden="false" customHeight="false" outlineLevel="0" collapsed="false">
      <c r="A996" s="13" t="s">
        <v>595</v>
      </c>
      <c r="B996" s="13" t="s">
        <v>594</v>
      </c>
      <c r="C996" s="13" t="s">
        <v>1446</v>
      </c>
      <c r="D996" s="13" t="s">
        <v>1469</v>
      </c>
      <c r="E996" s="13" t="s">
        <v>1562</v>
      </c>
      <c r="F996" s="13" t="s">
        <v>1551</v>
      </c>
      <c r="G996" s="61" t="n">
        <v>-521215000</v>
      </c>
      <c r="H996" s="13" t="s">
        <v>1435</v>
      </c>
      <c r="I996" s="13" t="s">
        <v>1552</v>
      </c>
      <c r="J996" s="13" t="n">
        <v>50</v>
      </c>
      <c r="K996" s="13"/>
      <c r="L996" s="13" t="s">
        <v>1443</v>
      </c>
      <c r="M996" s="13" t="s">
        <v>1553</v>
      </c>
    </row>
    <row r="997" customFormat="false" ht="15" hidden="false" customHeight="false" outlineLevel="0" collapsed="false">
      <c r="A997" s="13" t="s">
        <v>595</v>
      </c>
      <c r="B997" s="13" t="s">
        <v>594</v>
      </c>
      <c r="C997" s="13" t="s">
        <v>1446</v>
      </c>
      <c r="D997" s="13" t="s">
        <v>1469</v>
      </c>
      <c r="E997" s="13" t="s">
        <v>1563</v>
      </c>
      <c r="F997" s="13" t="s">
        <v>1551</v>
      </c>
      <c r="G997" s="109" t="n">
        <v>0</v>
      </c>
      <c r="H997" s="13" t="s">
        <v>1435</v>
      </c>
      <c r="I997" s="13" t="s">
        <v>1552</v>
      </c>
      <c r="J997" s="13" t="n">
        <v>50</v>
      </c>
      <c r="K997" s="13"/>
      <c r="L997" s="13" t="s">
        <v>1443</v>
      </c>
      <c r="M997" s="13" t="s">
        <v>1553</v>
      </c>
    </row>
    <row r="998" customFormat="false" ht="15" hidden="false" customHeight="false" outlineLevel="0" collapsed="false">
      <c r="A998" s="13" t="s">
        <v>595</v>
      </c>
      <c r="B998" s="13" t="s">
        <v>594</v>
      </c>
      <c r="C998" s="13" t="s">
        <v>1446</v>
      </c>
      <c r="D998" s="13" t="s">
        <v>1469</v>
      </c>
      <c r="E998" s="13" t="s">
        <v>1564</v>
      </c>
      <c r="F998" s="13" t="s">
        <v>1551</v>
      </c>
      <c r="G998" s="61" t="n">
        <v>3432215639882</v>
      </c>
      <c r="H998" s="13" t="s">
        <v>1435</v>
      </c>
      <c r="I998" s="13" t="s">
        <v>1552</v>
      </c>
      <c r="J998" s="13" t="n">
        <v>50</v>
      </c>
      <c r="K998" s="13"/>
      <c r="L998" s="13" t="s">
        <v>1443</v>
      </c>
      <c r="M998" s="13" t="s">
        <v>1553</v>
      </c>
    </row>
    <row r="999" customFormat="false" ht="15" hidden="false" customHeight="false" outlineLevel="0" collapsed="false">
      <c r="A999" s="13" t="s">
        <v>595</v>
      </c>
      <c r="B999" s="13" t="s">
        <v>594</v>
      </c>
      <c r="C999" s="13" t="s">
        <v>1448</v>
      </c>
      <c r="D999" s="13" t="s">
        <v>1469</v>
      </c>
      <c r="E999" s="13" t="s">
        <v>1550</v>
      </c>
      <c r="F999" s="13" t="s">
        <v>1551</v>
      </c>
      <c r="G999" s="61" t="n">
        <v>174790395878</v>
      </c>
      <c r="H999" s="13" t="s">
        <v>1435</v>
      </c>
      <c r="I999" s="13" t="s">
        <v>1552</v>
      </c>
      <c r="J999" s="13" t="n">
        <v>49</v>
      </c>
      <c r="K999" s="13"/>
      <c r="L999" s="13" t="s">
        <v>1443</v>
      </c>
      <c r="M999" s="13" t="s">
        <v>1553</v>
      </c>
    </row>
    <row r="1000" customFormat="false" ht="15" hidden="false" customHeight="false" outlineLevel="0" collapsed="false">
      <c r="A1000" s="13" t="s">
        <v>595</v>
      </c>
      <c r="B1000" s="13" t="s">
        <v>594</v>
      </c>
      <c r="C1000" s="13" t="s">
        <v>1448</v>
      </c>
      <c r="D1000" s="13" t="s">
        <v>1469</v>
      </c>
      <c r="E1000" s="13" t="s">
        <v>1554</v>
      </c>
      <c r="F1000" s="13" t="s">
        <v>1551</v>
      </c>
      <c r="G1000" s="61" t="n">
        <v>0</v>
      </c>
      <c r="H1000" s="13" t="s">
        <v>1435</v>
      </c>
      <c r="I1000" s="13" t="s">
        <v>1552</v>
      </c>
      <c r="J1000" s="13" t="n">
        <v>49</v>
      </c>
      <c r="K1000" s="13"/>
      <c r="L1000" s="13" t="s">
        <v>1443</v>
      </c>
      <c r="M1000" s="13" t="s">
        <v>1553</v>
      </c>
    </row>
    <row r="1001" customFormat="false" ht="15" hidden="false" customHeight="false" outlineLevel="0" collapsed="false">
      <c r="A1001" s="13" t="s">
        <v>595</v>
      </c>
      <c r="B1001" s="13" t="s">
        <v>594</v>
      </c>
      <c r="C1001" s="13" t="s">
        <v>1448</v>
      </c>
      <c r="D1001" s="13" t="s">
        <v>1469</v>
      </c>
      <c r="E1001" s="13" t="s">
        <v>1555</v>
      </c>
      <c r="F1001" s="13" t="s">
        <v>1551</v>
      </c>
      <c r="G1001" s="61" t="n">
        <v>26326052136</v>
      </c>
      <c r="H1001" s="13" t="s">
        <v>1435</v>
      </c>
      <c r="I1001" s="13" t="s">
        <v>1552</v>
      </c>
      <c r="J1001" s="13" t="n">
        <v>49</v>
      </c>
      <c r="K1001" s="13"/>
      <c r="L1001" s="13" t="s">
        <v>1443</v>
      </c>
      <c r="M1001" s="13" t="s">
        <v>1553</v>
      </c>
    </row>
    <row r="1002" customFormat="false" ht="15" hidden="false" customHeight="false" outlineLevel="0" collapsed="false">
      <c r="A1002" s="13" t="s">
        <v>595</v>
      </c>
      <c r="B1002" s="13" t="s">
        <v>594</v>
      </c>
      <c r="C1002" s="13" t="s">
        <v>1448</v>
      </c>
      <c r="D1002" s="13" t="s">
        <v>1469</v>
      </c>
      <c r="E1002" s="13" t="s">
        <v>1556</v>
      </c>
      <c r="F1002" s="13" t="s">
        <v>1551</v>
      </c>
      <c r="G1002" s="61" t="n">
        <v>-314989194</v>
      </c>
      <c r="H1002" s="13" t="s">
        <v>1435</v>
      </c>
      <c r="I1002" s="13" t="s">
        <v>1552</v>
      </c>
      <c r="J1002" s="13" t="n">
        <v>49</v>
      </c>
      <c r="K1002" s="13"/>
      <c r="L1002" s="13" t="s">
        <v>1443</v>
      </c>
      <c r="M1002" s="13" t="s">
        <v>1553</v>
      </c>
    </row>
    <row r="1003" customFormat="false" ht="15" hidden="false" customHeight="false" outlineLevel="0" collapsed="false">
      <c r="A1003" s="13" t="s">
        <v>595</v>
      </c>
      <c r="B1003" s="13" t="s">
        <v>594</v>
      </c>
      <c r="C1003" s="13" t="s">
        <v>1448</v>
      </c>
      <c r="D1003" s="13" t="s">
        <v>1469</v>
      </c>
      <c r="E1003" s="13" t="s">
        <v>1557</v>
      </c>
      <c r="F1003" s="13" t="s">
        <v>1551</v>
      </c>
      <c r="G1003" s="109" t="n">
        <v>0</v>
      </c>
      <c r="H1003" s="13" t="s">
        <v>1435</v>
      </c>
      <c r="I1003" s="13" t="s">
        <v>1552</v>
      </c>
      <c r="J1003" s="13" t="n">
        <v>49</v>
      </c>
      <c r="K1003" s="13"/>
      <c r="L1003" s="13" t="s">
        <v>1443</v>
      </c>
      <c r="M1003" s="13" t="s">
        <v>1553</v>
      </c>
    </row>
    <row r="1004" customFormat="false" ht="15" hidden="false" customHeight="false" outlineLevel="0" collapsed="false">
      <c r="A1004" s="13" t="s">
        <v>595</v>
      </c>
      <c r="B1004" s="13" t="s">
        <v>594</v>
      </c>
      <c r="C1004" s="13" t="s">
        <v>1448</v>
      </c>
      <c r="D1004" s="13" t="s">
        <v>1469</v>
      </c>
      <c r="E1004" s="13" t="s">
        <v>1558</v>
      </c>
      <c r="F1004" s="13" t="s">
        <v>1551</v>
      </c>
      <c r="G1004" s="61" t="n">
        <v>200801458820</v>
      </c>
      <c r="H1004" s="13" t="s">
        <v>1435</v>
      </c>
      <c r="I1004" s="13" t="s">
        <v>1552</v>
      </c>
      <c r="J1004" s="13" t="n">
        <v>49</v>
      </c>
      <c r="K1004" s="13"/>
      <c r="L1004" s="13" t="s">
        <v>1443</v>
      </c>
      <c r="M1004" s="13" t="s">
        <v>1553</v>
      </c>
    </row>
    <row r="1005" customFormat="false" ht="15" hidden="false" customHeight="false" outlineLevel="0" collapsed="false">
      <c r="A1005" s="13" t="s">
        <v>595</v>
      </c>
      <c r="B1005" s="13" t="s">
        <v>594</v>
      </c>
      <c r="C1005" s="13" t="s">
        <v>1448</v>
      </c>
      <c r="D1005" s="13" t="s">
        <v>1469</v>
      </c>
      <c r="E1005" s="13" t="s">
        <v>1559</v>
      </c>
      <c r="F1005" s="13" t="s">
        <v>1551</v>
      </c>
      <c r="G1005" s="61" t="n">
        <v>3432215639882</v>
      </c>
      <c r="H1005" s="13" t="s">
        <v>1435</v>
      </c>
      <c r="I1005" s="13" t="s">
        <v>1552</v>
      </c>
      <c r="J1005" s="13" t="n">
        <v>49</v>
      </c>
      <c r="K1005" s="13"/>
      <c r="L1005" s="13" t="s">
        <v>1443</v>
      </c>
      <c r="M1005" s="13" t="s">
        <v>1553</v>
      </c>
    </row>
    <row r="1006" customFormat="false" ht="15" hidden="false" customHeight="false" outlineLevel="0" collapsed="false">
      <c r="A1006" s="13" t="s">
        <v>595</v>
      </c>
      <c r="B1006" s="13" t="s">
        <v>594</v>
      </c>
      <c r="C1006" s="13" t="s">
        <v>1448</v>
      </c>
      <c r="D1006" s="13" t="s">
        <v>1469</v>
      </c>
      <c r="E1006" s="13" t="s">
        <v>1560</v>
      </c>
      <c r="F1006" s="13" t="s">
        <v>1551</v>
      </c>
      <c r="G1006" s="61" t="n">
        <v>0</v>
      </c>
      <c r="H1006" s="13" t="s">
        <v>1435</v>
      </c>
      <c r="I1006" s="13" t="s">
        <v>1552</v>
      </c>
      <c r="J1006" s="13" t="n">
        <v>49</v>
      </c>
      <c r="K1006" s="13"/>
      <c r="L1006" s="13" t="s">
        <v>1443</v>
      </c>
      <c r="M1006" s="13" t="s">
        <v>1553</v>
      </c>
    </row>
    <row r="1007" customFormat="false" ht="15" hidden="false" customHeight="false" outlineLevel="0" collapsed="false">
      <c r="A1007" s="13" t="s">
        <v>595</v>
      </c>
      <c r="B1007" s="13" t="s">
        <v>594</v>
      </c>
      <c r="C1007" s="13" t="s">
        <v>1448</v>
      </c>
      <c r="D1007" s="13" t="s">
        <v>1469</v>
      </c>
      <c r="E1007" s="13" t="s">
        <v>1561</v>
      </c>
      <c r="F1007" s="13" t="s">
        <v>1551</v>
      </c>
      <c r="G1007" s="61" t="n">
        <v>41493053594</v>
      </c>
      <c r="H1007" s="13" t="s">
        <v>1435</v>
      </c>
      <c r="I1007" s="13" t="s">
        <v>1552</v>
      </c>
      <c r="J1007" s="13" t="n">
        <v>49</v>
      </c>
      <c r="K1007" s="13"/>
      <c r="L1007" s="13" t="s">
        <v>1443</v>
      </c>
      <c r="M1007" s="13" t="s">
        <v>1553</v>
      </c>
    </row>
    <row r="1008" customFormat="false" ht="15" hidden="false" customHeight="false" outlineLevel="0" collapsed="false">
      <c r="A1008" s="13" t="s">
        <v>595</v>
      </c>
      <c r="B1008" s="13" t="s">
        <v>594</v>
      </c>
      <c r="C1008" s="13" t="s">
        <v>1448</v>
      </c>
      <c r="D1008" s="13" t="s">
        <v>1469</v>
      </c>
      <c r="E1008" s="13" t="s">
        <v>1562</v>
      </c>
      <c r="F1008" s="13" t="s">
        <v>1551</v>
      </c>
      <c r="G1008" s="61" t="n">
        <v>-314989194</v>
      </c>
      <c r="H1008" s="13" t="s">
        <v>1435</v>
      </c>
      <c r="I1008" s="13" t="s">
        <v>1552</v>
      </c>
      <c r="J1008" s="13" t="n">
        <v>49</v>
      </c>
      <c r="K1008" s="13"/>
      <c r="L1008" s="13" t="s">
        <v>1443</v>
      </c>
      <c r="M1008" s="13" t="s">
        <v>1553</v>
      </c>
    </row>
    <row r="1009" customFormat="false" ht="15" hidden="false" customHeight="false" outlineLevel="0" collapsed="false">
      <c r="A1009" s="13" t="s">
        <v>595</v>
      </c>
      <c r="B1009" s="13" t="s">
        <v>594</v>
      </c>
      <c r="C1009" s="13" t="s">
        <v>1448</v>
      </c>
      <c r="D1009" s="13" t="s">
        <v>1469</v>
      </c>
      <c r="E1009" s="13" t="s">
        <v>1563</v>
      </c>
      <c r="F1009" s="13" t="s">
        <v>1551</v>
      </c>
      <c r="G1009" s="109" t="n">
        <v>0</v>
      </c>
      <c r="H1009" s="13" t="s">
        <v>1435</v>
      </c>
      <c r="I1009" s="13" t="s">
        <v>1552</v>
      </c>
      <c r="J1009" s="13" t="n">
        <v>49</v>
      </c>
      <c r="K1009" s="13"/>
      <c r="L1009" s="13" t="s">
        <v>1443</v>
      </c>
      <c r="M1009" s="13" t="s">
        <v>1553</v>
      </c>
    </row>
    <row r="1010" customFormat="false" ht="15" hidden="false" customHeight="false" outlineLevel="0" collapsed="false">
      <c r="A1010" s="13" t="s">
        <v>595</v>
      </c>
      <c r="B1010" s="13" t="s">
        <v>594</v>
      </c>
      <c r="C1010" s="13" t="s">
        <v>1448</v>
      </c>
      <c r="D1010" s="13" t="s">
        <v>1469</v>
      </c>
      <c r="E1010" s="13" t="s">
        <v>1564</v>
      </c>
      <c r="F1010" s="13" t="s">
        <v>1551</v>
      </c>
      <c r="G1010" s="61" t="n">
        <v>3473393704282</v>
      </c>
      <c r="H1010" s="13" t="s">
        <v>1435</v>
      </c>
      <c r="I1010" s="13" t="s">
        <v>1552</v>
      </c>
      <c r="J1010" s="13" t="n">
        <v>49</v>
      </c>
      <c r="K1010" s="13"/>
      <c r="L1010" s="13" t="s">
        <v>1443</v>
      </c>
      <c r="M1010" s="13" t="s">
        <v>1553</v>
      </c>
    </row>
  </sheetData>
  <autoFilter ref="A4:M1010"/>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8"/>
    <col collapsed="false" customWidth="true" hidden="false" outlineLevel="0" max="4" min="4" style="0" width="110"/>
  </cols>
  <sheetData>
    <row r="1" customFormat="false" ht="17.35" hidden="false" customHeight="false" outlineLevel="0" collapsed="false">
      <c r="A1" s="14" t="s">
        <v>1565</v>
      </c>
    </row>
    <row r="2" customFormat="false" ht="15" hidden="false" customHeight="false" outlineLevel="0" collapsed="false">
      <c r="A2" s="15" t="s">
        <v>1566</v>
      </c>
    </row>
    <row r="4" customFormat="false" ht="15" hidden="false" customHeight="false" outlineLevel="0" collapsed="false">
      <c r="A4" s="24" t="s">
        <v>1567</v>
      </c>
      <c r="B4" s="24" t="s">
        <v>1568</v>
      </c>
      <c r="C4" s="24" t="s">
        <v>1258</v>
      </c>
      <c r="D4" s="24" t="s">
        <v>1569</v>
      </c>
    </row>
    <row r="5" customFormat="false" ht="15" hidden="false" customHeight="false" outlineLevel="0" collapsed="false">
      <c r="A5" s="10" t="s">
        <v>1570</v>
      </c>
      <c r="B5" s="10" t="s">
        <v>1571</v>
      </c>
      <c r="C5" s="10" t="n">
        <v>2020</v>
      </c>
      <c r="D5" s="10" t="s">
        <v>1437</v>
      </c>
    </row>
    <row r="6" customFormat="false" ht="15" hidden="false" customHeight="false" outlineLevel="0" collapsed="false">
      <c r="A6" s="10" t="s">
        <v>1570</v>
      </c>
      <c r="B6" s="10" t="s">
        <v>1572</v>
      </c>
      <c r="C6" s="10" t="n">
        <v>2021</v>
      </c>
      <c r="D6" s="10" t="s">
        <v>1441</v>
      </c>
    </row>
    <row r="7" customFormat="false" ht="15" hidden="false" customHeight="false" outlineLevel="0" collapsed="false">
      <c r="A7" s="10" t="s">
        <v>1570</v>
      </c>
      <c r="B7" s="10" t="s">
        <v>1573</v>
      </c>
      <c r="C7" s="10" t="n">
        <v>2022</v>
      </c>
      <c r="D7" s="10" t="s">
        <v>606</v>
      </c>
    </row>
    <row r="8" customFormat="false" ht="15" hidden="false" customHeight="false" outlineLevel="0" collapsed="false">
      <c r="A8" s="10" t="s">
        <v>1570</v>
      </c>
      <c r="B8" s="10" t="s">
        <v>1574</v>
      </c>
      <c r="C8" s="10" t="n">
        <v>2023</v>
      </c>
      <c r="D8" s="10" t="s">
        <v>607</v>
      </c>
    </row>
    <row r="9" customFormat="false" ht="15" hidden="false" customHeight="false" outlineLevel="0" collapsed="false">
      <c r="A9" s="10" t="s">
        <v>1570</v>
      </c>
      <c r="B9" s="10" t="s">
        <v>1575</v>
      </c>
      <c r="C9" s="10" t="n">
        <v>2024</v>
      </c>
      <c r="D9" s="10" t="s">
        <v>608</v>
      </c>
    </row>
    <row r="10" customFormat="false" ht="15" hidden="false" customHeight="false" outlineLevel="0" collapsed="false">
      <c r="A10" s="10" t="s">
        <v>1570</v>
      </c>
      <c r="B10" s="10" t="s">
        <v>1576</v>
      </c>
      <c r="C10" s="10" t="n">
        <v>2025</v>
      </c>
      <c r="D10" s="10" t="s">
        <v>609</v>
      </c>
    </row>
    <row r="11" customFormat="false" ht="35.05" hidden="false" customHeight="false" outlineLevel="0" collapsed="false">
      <c r="A11" s="10" t="s">
        <v>1577</v>
      </c>
      <c r="B11" s="10" t="s">
        <v>1438</v>
      </c>
      <c r="C11" s="10" t="n">
        <v>2021</v>
      </c>
      <c r="D11" s="10" t="s">
        <v>1578</v>
      </c>
    </row>
    <row r="12" customFormat="false" ht="46.25" hidden="false" customHeight="false" outlineLevel="0" collapsed="false">
      <c r="A12" s="10" t="s">
        <v>1579</v>
      </c>
      <c r="B12" s="10" t="s">
        <v>1580</v>
      </c>
      <c r="C12" s="10" t="n">
        <v>2022</v>
      </c>
      <c r="D12" s="10" t="s">
        <v>1581</v>
      </c>
    </row>
    <row r="13" customFormat="false" ht="15" hidden="false" customHeight="false" outlineLevel="0" collapsed="false">
      <c r="A13" s="10" t="s">
        <v>1582</v>
      </c>
      <c r="B13" s="10" t="s">
        <v>1583</v>
      </c>
      <c r="C13" s="10"/>
      <c r="D13" s="10" t="s">
        <v>1584</v>
      </c>
    </row>
    <row r="14" customFormat="false" ht="15" hidden="false" customHeight="false" outlineLevel="0" collapsed="false">
      <c r="A14" s="10" t="s">
        <v>1582</v>
      </c>
      <c r="B14" s="10" t="s">
        <v>1585</v>
      </c>
      <c r="C14" s="10"/>
      <c r="D14" s="10" t="s">
        <v>1586</v>
      </c>
    </row>
    <row r="15" customFormat="false" ht="15" hidden="false" customHeight="false" outlineLevel="0" collapsed="false">
      <c r="A15" s="10" t="s">
        <v>1582</v>
      </c>
      <c r="B15" s="10" t="s">
        <v>1587</v>
      </c>
      <c r="C15" s="10"/>
      <c r="D15" s="10" t="s">
        <v>726</v>
      </c>
    </row>
    <row r="16" customFormat="false" ht="15" hidden="false" customHeight="false" outlineLevel="0" collapsed="false">
      <c r="A16" s="10" t="s">
        <v>1582</v>
      </c>
      <c r="B16" s="10" t="s">
        <v>1588</v>
      </c>
      <c r="C16" s="10"/>
      <c r="D16" s="10" t="s">
        <v>1589</v>
      </c>
    </row>
    <row r="17" customFormat="false" ht="15" hidden="false" customHeight="false" outlineLevel="0" collapsed="false">
      <c r="A17" s="10" t="s">
        <v>1582</v>
      </c>
      <c r="B17" s="10" t="s">
        <v>1590</v>
      </c>
      <c r="C17" s="10"/>
      <c r="D17" s="10" t="s">
        <v>1591</v>
      </c>
    </row>
    <row r="18" customFormat="false" ht="15" hidden="false" customHeight="false" outlineLevel="0" collapsed="false">
      <c r="A18" s="10" t="s">
        <v>1582</v>
      </c>
      <c r="B18" s="10" t="s">
        <v>1592</v>
      </c>
      <c r="C18" s="10"/>
      <c r="D18" s="10" t="s">
        <v>1593</v>
      </c>
    </row>
    <row r="19" customFormat="false" ht="23.85" hidden="false" customHeight="false" outlineLevel="0" collapsed="false">
      <c r="A19" s="10" t="s">
        <v>1594</v>
      </c>
      <c r="B19" s="10" t="s">
        <v>953</v>
      </c>
      <c r="C19" s="10" t="n">
        <v>2022</v>
      </c>
      <c r="D19" s="10" t="s">
        <v>607</v>
      </c>
    </row>
    <row r="20" customFormat="false" ht="23.85" hidden="false" customHeight="false" outlineLevel="0" collapsed="false">
      <c r="A20" s="10" t="s">
        <v>1594</v>
      </c>
      <c r="B20" s="10" t="s">
        <v>953</v>
      </c>
      <c r="C20" s="10" t="n">
        <v>2023</v>
      </c>
      <c r="D20" s="10" t="s">
        <v>608</v>
      </c>
    </row>
    <row r="21" customFormat="false" ht="23.85" hidden="false" customHeight="false" outlineLevel="0" collapsed="false">
      <c r="A21" s="10" t="s">
        <v>1594</v>
      </c>
      <c r="B21" s="10" t="s">
        <v>953</v>
      </c>
      <c r="C21" s="10" t="n">
        <v>2024</v>
      </c>
      <c r="D21" s="10" t="s">
        <v>609</v>
      </c>
    </row>
    <row r="22" customFormat="false" ht="23.85" hidden="false" customHeight="false" outlineLevel="0" collapsed="false">
      <c r="A22" s="10" t="s">
        <v>1594</v>
      </c>
      <c r="B22" s="10" t="s">
        <v>968</v>
      </c>
      <c r="C22" s="10" t="n">
        <v>2022</v>
      </c>
      <c r="D22" s="10" t="s">
        <v>607</v>
      </c>
    </row>
    <row r="23" customFormat="false" ht="23.85" hidden="false" customHeight="false" outlineLevel="0" collapsed="false">
      <c r="A23" s="10" t="s">
        <v>1594</v>
      </c>
      <c r="B23" s="10" t="s">
        <v>968</v>
      </c>
      <c r="C23" s="10" t="n">
        <v>2023</v>
      </c>
      <c r="D23" s="10" t="s">
        <v>608</v>
      </c>
    </row>
    <row r="24" customFormat="false" ht="23.85" hidden="false" customHeight="false" outlineLevel="0" collapsed="false">
      <c r="A24" s="10" t="s">
        <v>1594</v>
      </c>
      <c r="B24" s="10" t="s">
        <v>968</v>
      </c>
      <c r="C24" s="10" t="n">
        <v>2024</v>
      </c>
      <c r="D24" s="10" t="s">
        <v>609</v>
      </c>
    </row>
    <row r="25" customFormat="false" ht="23.85" hidden="false" customHeight="false" outlineLevel="0" collapsed="false">
      <c r="A25" s="10" t="s">
        <v>1594</v>
      </c>
      <c r="B25" s="10" t="s">
        <v>971</v>
      </c>
      <c r="C25" s="10" t="n">
        <v>2022</v>
      </c>
      <c r="D25" s="10" t="s">
        <v>607</v>
      </c>
    </row>
    <row r="26" customFormat="false" ht="23.85" hidden="false" customHeight="false" outlineLevel="0" collapsed="false">
      <c r="A26" s="10" t="s">
        <v>1594</v>
      </c>
      <c r="B26" s="10" t="s">
        <v>971</v>
      </c>
      <c r="C26" s="10" t="n">
        <v>2023</v>
      </c>
      <c r="D26" s="10" t="s">
        <v>608</v>
      </c>
    </row>
    <row r="27" customFormat="false" ht="23.85" hidden="false" customHeight="false" outlineLevel="0" collapsed="false">
      <c r="A27" s="10" t="s">
        <v>1594</v>
      </c>
      <c r="B27" s="10" t="s">
        <v>971</v>
      </c>
      <c r="C27" s="10" t="n">
        <v>2024</v>
      </c>
      <c r="D27" s="10" t="s">
        <v>609</v>
      </c>
    </row>
    <row r="28" customFormat="false" ht="23.85" hidden="false" customHeight="false" outlineLevel="0" collapsed="false">
      <c r="A28" s="10" t="s">
        <v>1594</v>
      </c>
      <c r="B28" s="10" t="s">
        <v>1595</v>
      </c>
      <c r="C28" s="10" t="n">
        <v>2022</v>
      </c>
      <c r="D28" s="10" t="s">
        <v>607</v>
      </c>
    </row>
    <row r="29" customFormat="false" ht="23.85" hidden="false" customHeight="false" outlineLevel="0" collapsed="false">
      <c r="A29" s="10" t="s">
        <v>1594</v>
      </c>
      <c r="B29" s="10" t="s">
        <v>1595</v>
      </c>
      <c r="C29" s="10" t="n">
        <v>2023</v>
      </c>
      <c r="D29" s="10" t="s">
        <v>608</v>
      </c>
    </row>
    <row r="30" customFormat="false" ht="23.85" hidden="false" customHeight="false" outlineLevel="0" collapsed="false">
      <c r="A30" s="10" t="s">
        <v>1594</v>
      </c>
      <c r="B30" s="10" t="s">
        <v>1595</v>
      </c>
      <c r="C30" s="10" t="n">
        <v>2024</v>
      </c>
      <c r="D30" s="10" t="s">
        <v>609</v>
      </c>
    </row>
    <row r="31" customFormat="false" ht="23.85" hidden="false" customHeight="false" outlineLevel="0" collapsed="false">
      <c r="A31" s="10" t="s">
        <v>1594</v>
      </c>
      <c r="B31" s="10" t="s">
        <v>1596</v>
      </c>
      <c r="C31" s="10" t="n">
        <v>2022</v>
      </c>
      <c r="D31" s="10" t="s">
        <v>607</v>
      </c>
    </row>
    <row r="32" customFormat="false" ht="23.85" hidden="false" customHeight="false" outlineLevel="0" collapsed="false">
      <c r="A32" s="10" t="s">
        <v>1594</v>
      </c>
      <c r="B32" s="10" t="s">
        <v>1596</v>
      </c>
      <c r="C32" s="10" t="n">
        <v>2023</v>
      </c>
      <c r="D32" s="10" t="s">
        <v>608</v>
      </c>
    </row>
    <row r="33" customFormat="false" ht="23.85" hidden="false" customHeight="false" outlineLevel="0" collapsed="false">
      <c r="A33" s="10" t="s">
        <v>1594</v>
      </c>
      <c r="B33" s="10" t="s">
        <v>1596</v>
      </c>
      <c r="C33" s="10" t="n">
        <v>2024</v>
      </c>
      <c r="D33" s="10" t="s">
        <v>609</v>
      </c>
    </row>
    <row r="34" customFormat="false" ht="23.85" hidden="false" customHeight="false" outlineLevel="0" collapsed="false">
      <c r="A34" s="10" t="s">
        <v>1594</v>
      </c>
      <c r="B34" s="10" t="s">
        <v>1597</v>
      </c>
      <c r="C34" s="10" t="n">
        <v>2022</v>
      </c>
      <c r="D34" s="10" t="s">
        <v>607</v>
      </c>
    </row>
    <row r="35" customFormat="false" ht="23.85" hidden="false" customHeight="false" outlineLevel="0" collapsed="false">
      <c r="A35" s="10" t="s">
        <v>1594</v>
      </c>
      <c r="B35" s="10" t="s">
        <v>1597</v>
      </c>
      <c r="C35" s="10" t="n">
        <v>2023</v>
      </c>
      <c r="D35" s="10" t="s">
        <v>608</v>
      </c>
    </row>
    <row r="36" customFormat="false" ht="23.85" hidden="false" customHeight="false" outlineLevel="0" collapsed="false">
      <c r="A36" s="10" t="s">
        <v>1594</v>
      </c>
      <c r="B36" s="10" t="s">
        <v>1597</v>
      </c>
      <c r="C36" s="10" t="n">
        <v>2024</v>
      </c>
      <c r="D36" s="10" t="s">
        <v>609</v>
      </c>
    </row>
    <row r="37" customFormat="false" ht="23.85" hidden="false" customHeight="false" outlineLevel="0" collapsed="false">
      <c r="A37" s="10" t="s">
        <v>1594</v>
      </c>
      <c r="B37" s="10" t="s">
        <v>1598</v>
      </c>
      <c r="C37" s="10" t="n">
        <v>2022</v>
      </c>
      <c r="D37" s="10" t="s">
        <v>607</v>
      </c>
    </row>
    <row r="38" customFormat="false" ht="23.85" hidden="false" customHeight="false" outlineLevel="0" collapsed="false">
      <c r="A38" s="10" t="s">
        <v>1594</v>
      </c>
      <c r="B38" s="10" t="s">
        <v>1598</v>
      </c>
      <c r="C38" s="10" t="n">
        <v>2023</v>
      </c>
      <c r="D38" s="10" t="s">
        <v>608</v>
      </c>
    </row>
    <row r="39" customFormat="false" ht="23.85" hidden="false" customHeight="false" outlineLevel="0" collapsed="false">
      <c r="A39" s="10" t="s">
        <v>1594</v>
      </c>
      <c r="B39" s="10" t="s">
        <v>1598</v>
      </c>
      <c r="C39" s="10" t="n">
        <v>2024</v>
      </c>
      <c r="D39" s="10" t="s">
        <v>609</v>
      </c>
    </row>
    <row r="40" customFormat="false" ht="15" hidden="false" customHeight="false" outlineLevel="0" collapsed="false">
      <c r="A40" s="10" t="s">
        <v>1599</v>
      </c>
      <c r="B40" s="10" t="s">
        <v>1600</v>
      </c>
      <c r="C40" s="10"/>
      <c r="D40" s="10" t="s">
        <v>1601</v>
      </c>
    </row>
    <row r="41" customFormat="false" ht="15" hidden="false" customHeight="false" outlineLevel="0" collapsed="false">
      <c r="A41" s="10" t="s">
        <v>1599</v>
      </c>
      <c r="B41" s="10" t="s">
        <v>1602</v>
      </c>
      <c r="C41" s="10"/>
      <c r="D41" s="10" t="s">
        <v>1601</v>
      </c>
    </row>
    <row r="42" customFormat="false" ht="15" hidden="false" customHeight="false" outlineLevel="0" collapsed="false">
      <c r="A42" s="10" t="s">
        <v>1599</v>
      </c>
      <c r="B42" s="10" t="s">
        <v>1603</v>
      </c>
      <c r="C42" s="10"/>
      <c r="D42" s="10" t="s">
        <v>1601</v>
      </c>
    </row>
    <row r="43" customFormat="false" ht="15" hidden="false" customHeight="false" outlineLevel="0" collapsed="false">
      <c r="A43" s="10" t="s">
        <v>1599</v>
      </c>
      <c r="B43" s="10" t="s">
        <v>1604</v>
      </c>
      <c r="C43" s="10"/>
      <c r="D43" s="10" t="s">
        <v>1601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Metro Healthcare Indonesia Tbk (CARE)&amp;R&amp;7 © Ryant Gabein Pasaribu | CC BY 4.0 | CARE-FY2025-v1.0-21844D70</oddHeader>
    <oddFooter>&amp;L&amp;7 PT Metro Healthcare Indonesia Tbk (CARE) | © Ryant Gabein Pasaribu | CC BY 4.0 | CARE-FY2025-v1.0-21844D70&amp;R&amp;7 Sumber: LK audited CARE 2020-2025 | Hal &amp;P dari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2026-10-25T10:31:19Z</dcterms:created>
  <dc:creator>Ryant Gabein Pasaribu</dc:creator>
  <dc:description>©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 ID file: CARE-FY2025-v1.0-21844D70. Dokumen ini hanya ringkasan informasi dan analisis data fundamental yang bersumber dari laporan keuangan publik (audited) PT Metro Healthcare Indonesia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dc:description>
  <dc:identifier>CARE-FY2025-v1.0-21844D70</dc:identifier>
  <cp:keywords>CARE-FY2025-v1.0-21844D70</cp:keywords>
  <dc:language>en-US</dc:language>
  <cp:lastModifiedBy>Ryant Gabein Pasaribu</cp:lastModifiedBy>
  <dcterms:modified xsi:type="dcterms:W3CDTF">2026-10-25T10:31:20Z</dcterms:modified>
  <cp:revision>0</cp:revision>
  <dc:subject>Model fundamental PT Metro Healthcare Indonesia Tbk (CARE) - CC BY 4.0</dc:subject>
  <dc:title>Model fundamental CARE</dc:title>
  <cp:version>v1.0</cp:version>
</cp:coreProperties>
</file>

<file path=docProps/custom.xml><?xml version="1.0" encoding="utf-8"?>
<Properties xmlns="http://schemas.openxmlformats.org/officeDocument/2006/custom-properties" xmlns:vt="http://schemas.openxmlformats.org/officeDocument/2006/docPropsVTypes"/>
</file>